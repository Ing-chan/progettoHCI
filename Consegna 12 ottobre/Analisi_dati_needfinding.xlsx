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C:\Users\Margherita\Downloads\"/>
    </mc:Choice>
  </mc:AlternateContent>
  <xr:revisionPtr revIDLastSave="0" documentId="8_{1CAF92C4-10BA-42B8-9650-7FE1DFFDC983}" xr6:coauthVersionLast="47" xr6:coauthVersionMax="47" xr10:uidLastSave="{00000000-0000-0000-0000-000000000000}"/>
  <bookViews>
    <workbookView xWindow="-108" yWindow="-108" windowWidth="23256" windowHeight="12456" firstSheet="1" activeTab="1" xr2:uid="{00000000-000D-0000-FFFF-FFFF00000000}"/>
  </bookViews>
  <sheets>
    <sheet name="Pattern" sheetId="1" r:id="rId1"/>
    <sheet name="Fatti" sheetId="2" r:id="rId2"/>
    <sheet name="Incroci" sheetId="4" r:id="rId3"/>
  </sheets>
  <definedNames>
    <definedName name="_xlnm._FilterDatabase" localSheetId="1" hidden="1">Fatti!$A$4:$H$64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4" l="1"/>
  <c r="F31" i="4"/>
  <c r="F30" i="4"/>
  <c r="F29" i="4"/>
  <c r="G25" i="4"/>
  <c r="G24" i="4"/>
  <c r="G23" i="4"/>
  <c r="G22" i="4"/>
  <c r="D17" i="4"/>
  <c r="D16" i="4"/>
  <c r="D15" i="4"/>
  <c r="D11" i="4"/>
  <c r="D10" i="4"/>
  <c r="D6" i="4"/>
  <c r="D5" i="4"/>
  <c r="H62" i="2"/>
  <c r="H61" i="2"/>
  <c r="H60" i="2"/>
  <c r="H59" i="2"/>
  <c r="H58" i="2"/>
  <c r="H57" i="2"/>
  <c r="H56" i="2"/>
  <c r="H55" i="2"/>
  <c r="H54" i="2"/>
  <c r="H53" i="2"/>
  <c r="H52" i="2"/>
  <c r="H51" i="2"/>
  <c r="H50" i="2"/>
  <c r="H49" i="2"/>
  <c r="H48" i="2"/>
  <c r="H47" i="2"/>
  <c r="H46" i="2"/>
  <c r="H45" i="2"/>
  <c r="H44" i="2"/>
  <c r="H43" i="2"/>
  <c r="H42" i="2"/>
  <c r="H41" i="2"/>
  <c r="H40"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10" i="1"/>
  <c r="H9" i="1"/>
  <c r="H8" i="1"/>
  <c r="H7" i="1"/>
  <c r="H6" i="1"/>
  <c r="H5" i="1"/>
  <c r="H4" i="1"/>
  <c r="H3" i="1"/>
  <c r="H2" i="1"/>
</calcChain>
</file>

<file path=xl/sharedStrings.xml><?xml version="1.0" encoding="utf-8"?>
<sst xmlns="http://schemas.openxmlformats.org/spreadsheetml/2006/main" count="511" uniqueCount="315">
  <si>
    <t>Cat.</t>
  </si>
  <si>
    <t>Categoria</t>
  </si>
  <si>
    <t>Resoconto (cosa dicono i dati)</t>
  </si>
  <si>
    <t>Fatti a supporto</t>
  </si>
  <si>
    <t>Solidità dell'evidenza</t>
  </si>
  <si>
    <t>Limiti: cosa NON possiamo dedurre</t>
  </si>
  <si>
    <t>Spunti per il design (ipotesi da verificare)</t>
  </si>
  <si>
    <t>N. fatti</t>
  </si>
  <si>
    <t>C1</t>
  </si>
  <si>
    <t>Abitudini online e contatti con sconosciuti</t>
  </si>
  <si>
    <t>Scrivono soprattutto su WhatsApp, Instagram e TikTok. La maggior parte ha il profilo privato, spesso per scelta propria. I messaggi da sconosciuti sono frequenti, ma le studentesse intervistate dicono di scrivere quasi solo con persone che conoscono.</t>
  </si>
  <si>
    <t>Q02, Q03, Q04, Q05, S01–S04, S06, S07</t>
  </si>
  <si>
    <t>Alta (questionario + intervista)</t>
  </si>
  <si>
    <t>Questionario quasi tutto maschile; per le chat dei videogiochi e Discord non ci sono dati qualitativi.</t>
  </si>
  <si>
    <t>Quali canali coprire per primi (WhatsApp, Instagram, TikTok)? Le chat dei videogiochi meritano un approfondimento?</t>
  </si>
  <si>
    <t>C2</t>
  </si>
  <si>
    <t>Come valutano se un profilo è affidabile</t>
  </si>
  <si>
    <t>Il criterio principale è sociale: amici in comune, chi lo segue, "lo conoscono le mie amiche". Poi vengono segnali superficiali (numero di follower, foto profilo, aspetto) usati in modo incoerente: per alcuni pochi follower sono un segnale di falso, per altri anche 600 lo sono. Qualcuno usa strategie più evolute (età dell'account, ricerca dell'immagine, prefisso estero).</t>
  </si>
  <si>
    <t>Q06, Q07, Q22, S05, S08–S14</t>
  </si>
  <si>
    <t>Alta (questionario + intervista + esercizio)</t>
  </si>
  <si>
    <t>La codifica della domanda aperta è per parole chiave: va controllata a mano (foglio "Q aperta codificata"). Un solo esercizio con due profili.</t>
  </si>
  <si>
    <t>Ipotesi: insegnare che gli "amici in comune" e i follower non bastano come garanzia; allenare a segnali più affidabili (età dell'account, ricerca inversa dell'immagine, comportamento in chat).</t>
  </si>
  <si>
    <t>C3</t>
  </si>
  <si>
    <t>Fiducia nelle proprie capacità vs comportamenti reali</t>
  </si>
  <si>
    <t>Circa 3 su 4 si sentono capaci di accorgersi di un profilo falso e di una foto fatta con l'IA. Ma quando hanno un dubbio su un contenuto, la metà non fa niente e l'azione più comune è guardare i commenti; chiedere a qualcuno è rarissimo. La passività riguarda tutti: chi ha poca fiducia è anzi ancora più passivo (14 su 21), quindi non si può dire che sia la sicurezza a rendere passivi. Due segnali di sovrastima: 14 dei 21 che non sanno cos'è un deepfake si danno 4-5 nel riconoscere foto IA, e più della metà di chi si sente capace di riconoscerle non saprebbe bene come agire se toccasse a loro.</t>
  </si>
  <si>
    <t>Q08–Q14, S15</t>
  </si>
  <si>
    <t>Media: sono autovalutazioni, nell'intervista c'è un solo esercizio</t>
  </si>
  <si>
    <t>Un'autovalutazione alta non è una competenza misurata. Dai dati non si può dire che "non sanno riconoscere" i falsi: si può dire che la fiducia dichiarata non corrisponde ad azioni di verifica.</t>
  </si>
  <si>
    <t>Da verificare con un test pratico (es. riconoscere N foto vere/IA) per misurare la competenza reale.</t>
  </si>
  <si>
    <t>C4</t>
  </si>
  <si>
    <t>Deepfake e contenuti falsi tra coetanei</t>
  </si>
  <si>
    <t>I contenuti modificati con l'IA girano tra coetanei (quasi 4 su 5 li hanno visti). Pochissimi li considerano una cosa seria: in genere "dipende" da quanto è pesante o sono uno scherzo. La gravità si giudica dalla reazione visibile della vittima ("se ride è uno scherzo"). Una studentessa racconta una chat creata contro di lei con le sue foto; la sua paura principale era che venissero modificate con l'IA.</t>
  </si>
  <si>
    <t>Q15, Q16, S16, S17, S19, S30, S33</t>
  </si>
  <si>
    <t>Il questionario chiede cosa pensano "gli altri ragazzi", non il rispondente. Il caso di Aurora è una singola esperienza.</t>
  </si>
  <si>
    <t>Ipotesi: lavorare sulla percezione del danno ("ridere non vuol dire stare bene") e sul ruolo di chi assiste.</t>
  </si>
  <si>
    <t>C5</t>
  </si>
  <si>
    <t>Riconoscere l'adescamento e le richieste di foto</t>
  </si>
  <si>
    <t>Davanti alla stessa chat di adescamento, le ragazze non concordano su quando scatta il campanello d'allarme: per alcune la confidenza eccessiva troppo presto, per altre la segretezza ("non dirlo ai tuoi") o la richiesta di una foto. Il rifiuto di mandare foto sessuali è netto, ma su una foto "normale" la soglia dipende dal tempo e dal sentirsi in confidenza. Le richieste di foto raccontate venivano da persone conosciute, non da sconosciuti.</t>
  </si>
  <si>
    <t>S20–S24, S08</t>
  </si>
  <si>
    <t>Bassa-media: 5 ragazze di 13-14 anni, in gruppo</t>
  </si>
  <si>
    <t>Non generalizzabile al target, né ai ragazzi maschi. In gruppo le risposte si influenzano a vicenda.</t>
  </si>
  <si>
    <t>Ipotesi: un training che mostri l'escalation tipica (lusinga → segretezza → cambio di piattaforma → richiesta). Approfondire nelle prossime interviste i casi con persone "semi-conosciute".</t>
  </si>
  <si>
    <t>C6</t>
  </si>
  <si>
    <t>Chiedere aiuto: a chi, e perché no</t>
  </si>
  <si>
    <t>Il primo confidente è un amico o un'amica; quasi 1 su 5 non ne parlerebbe con nessuno (nessuna delle 10 ragazze del questionario). Genitori e docenti sono scelti raramente come primo riferimento. Le ragazze esprimono riluttanza a coinvolgere i genitori (preferiscono "piuttosto i carabinieri") e temono che il prof veda la chat. Il docente attribuisce questa riluttanza a vergogna e paura di punizioni. Pochi sanno come agire se circolasse un'immagine falsa di sé. Per informarsi userebbero soprattutto Google, adulti, amici e IA; per confidarsi vogliono "una persona vera".</t>
  </si>
  <si>
    <t>Q17–Q20, S18, S25–S28, S31, D06–D08, D14–D17</t>
  </si>
  <si>
    <t>Alta (tre fonti concordano)</t>
  </si>
  <si>
    <t>La risposta corale "prima con i genitori" (S27) è arrivata dopo una domanda diretta dell'intervistatore: va pesata meno. Le ragioni del docente (D15) sono sue opinioni.</t>
  </si>
  <si>
    <t>Ipotesi: gli amici sono il canale principale, quindi conviene preparare anche chi riceve la confidenza ("come aiutare un'amica"). Percorsi di aiuto chiari e graduali, che non obblighino a coinvolgere subito i genitori.</t>
  </si>
  <si>
    <t>C7</t>
  </si>
  <si>
    <t>Prevenzione e ruolo della scuola</t>
  </si>
  <si>
    <t>Quasi nessuno ricorda attività di prevenzione; chi le cita parla di conferenze sul cyberbullismo o di educazione civica. A scuola la regolamentazione sull'IA è appena iniziata, mancano spazi di confronto tra studenti e il telefono è vietato. Nell'unico caso concreto raccontato, la scuola non è intervenuta in modo percepito come adeguato. Alcuni rispondenti chiedono più informazione.</t>
  </si>
  <si>
    <t>Q21, Q23, D01–D05, D07, D10, D12, D13, S32</t>
  </si>
  <si>
    <t>Media</t>
  </si>
  <si>
    <t>Un solo docente e una sola scuola per le informazioni sull'istituto. "Non ricordo attività" non significa che non ce ne siano state.</t>
  </si>
  <si>
    <t>Con il divieto del telefono a scuola, lo strumento va pensato per l'uso fuori dall'orario scolastico (o con dispositivi della scuola).</t>
  </si>
  <si>
    <t>C8</t>
  </si>
  <si>
    <t>Idea di progetto: forum anonimo e supporto</t>
  </si>
  <si>
    <t>Il forum riceve un interesse condizionato: sì se è anonimo (le ragazze citano NGL) e se si è sicuri che gli altri siano chi dicono. Un'intervistata dubita che molti racconterebbero la propria esperienza. Il docente lo ritiene utile per sentirsi meno soli, ma chiede supervisione discreta, protezione dagli screenshot e un accesso facile all'aiuto (esperti, numeri utili). Nel questionario solo il 4% cercherebbe informazioni in un forum.</t>
  </si>
  <si>
    <t>S29, S28, D09, D19–D23, Q20</t>
  </si>
  <si>
    <t>Media-bassa</t>
  </si>
  <si>
    <t>L'idea del forum è stata proposta dagli intervistatori: c'è il rischio di risposte compiacenti. Il dato del questionario (4%) riguarda la ricerca di informazioni, non la condivisione.</t>
  </si>
  <si>
    <t>Tensione da risolvere: anonimato vs autenticità vs supervisione. Da verificare se i ragazzi leggerebbero esperienze altrui anche senza scriverne.</t>
  </si>
  <si>
    <t>C9</t>
  </si>
  <si>
    <t>Come comunicare con i ragazzi</t>
  </si>
  <si>
    <t>Il docente consiglia un tono alla pari, un linguaggio semplice e diretto e nessuna imposizione: ciò che sembra imposto viene rifiutato. Racconta che una domanda amichevole è bastata a far aprire uno studente.</t>
  </si>
  <si>
    <t>D11, D18</t>
  </si>
  <si>
    <t>Bassa: una sola fonte</t>
  </si>
  <si>
    <t>È l'esperienza di un singolo docente.</t>
  </si>
  <si>
    <t>Da verificare con i ragazzi (es. confronto tra testi con toni diversi).</t>
  </si>
  <si>
    <t>Tabella dei fatti – una riga per ogni elemento rilevato (dati, non interpretazioni)</t>
  </si>
  <si>
    <t>S = intervista di gruppo alle studentesse (07/10) · D = intervista al docente (09/10) · Q = questionario online. Nomi delle studentesse di fantasia. La colonna Categoria rimanda al foglio "Pattern".</t>
  </si>
  <si>
    <t>ID</t>
  </si>
  <si>
    <t>Fonte</t>
  </si>
  <si>
    <t>Chi</t>
  </si>
  <si>
    <t>Tema / domanda</t>
  </si>
  <si>
    <t>Fatto osservato</t>
  </si>
  <si>
    <t>Riferimento audio</t>
  </si>
  <si>
    <t>Nome categoria</t>
  </si>
  <si>
    <t>NOTE</t>
  </si>
  <si>
    <t>S01</t>
  </si>
  <si>
    <t>Intervista studentesse 07/10</t>
  </si>
  <si>
    <t>Giulia, Sofia, Martina</t>
  </si>
  <si>
    <t>Abitudini online</t>
  </si>
  <si>
    <t>Scrivono soprattutto (Giulia) o solo (Sofia, Martina) con persone che conoscono.</t>
  </si>
  <si>
    <t>S02</t>
  </si>
  <si>
    <t>Aurora</t>
  </si>
  <si>
    <t>Le è capitato di interagire anche con persone che non conosce.</t>
  </si>
  <si>
    <t>S03</t>
  </si>
  <si>
    <t>Tutte (5)</t>
  </si>
  <si>
    <t>Profili social</t>
  </si>
  <si>
    <t>Tutte hanno il profilo privato.</t>
  </si>
  <si>
    <t>S04</t>
  </si>
  <si>
    <t>Giulia l'ha reso privato su consiglio della madre; Aurora, Martina e Chiara da sole "per precauzione"; Sofia "perché non voglio che altre persone lo vedano".</t>
  </si>
  <si>
    <t>S05</t>
  </si>
  <si>
    <t>Giulia</t>
  </si>
  <si>
    <t>Contatti con sconosciuti</t>
  </si>
  <si>
    <t>Ha un'amica conosciuta online, ma non ha avuto diffidenza "perché già la conoscevo tramite un po' di amiche". Nessun contatto con persone del tutto sconosciute.</t>
  </si>
  <si>
    <t>S06</t>
  </si>
  <si>
    <t>Sofia, Martina</t>
  </si>
  <si>
    <t>Una volta contattate da uno sconosciuto: bloccato subito ("non mi fidavo" / "non lo conosceva nessuno").</t>
  </si>
  <si>
    <t>S07</t>
  </si>
  <si>
    <t>Chiara</t>
  </si>
  <si>
    <t>"Io mai nessuno online."</t>
  </si>
  <si>
    <t>S08</t>
  </si>
  <si>
    <t>Ha accettato un ragazzo sconosciuto perché le amiche lo seguivano; "sembrava più grande"; dovevano uscire, poi ha perso interesse perché non sapeva bene "com'era fatto".</t>
  </si>
  <si>
    <t>Estratto 1 (02:50)</t>
  </si>
  <si>
    <t>S09</t>
  </si>
  <si>
    <t>Segnali di affidabilità</t>
  </si>
  <si>
    <t>Primo segnale di dubbio: se è "aggressivo, violento". Con amici in comune "mi fa pensare che è a posto"; senza, diventa più diffidente.</t>
  </si>
  <si>
    <t>S10</t>
  </si>
  <si>
    <t>Sofia</t>
  </si>
  <si>
    <t>Si insospettisce "se inizia a fare domande un po' scomode".</t>
  </si>
  <si>
    <t>S11</t>
  </si>
  <si>
    <t>Guarda la foto profilo; evita chi pubblica storie con pistole (pur conoscendo "brave persone" che lo fanno); evita chi chiede dove abita.</t>
  </si>
  <si>
    <t>S12</t>
  </si>
  <si>
    <t>Su WhatsApp guarda la provenienza del numero e blocca i numeri esteri; su Instagram prima segue lei lo sconosciuto e poi, se va bene, lo accetta.</t>
  </si>
  <si>
    <t>S13</t>
  </si>
  <si>
    <t>Sofia, Aurora, Giulia</t>
  </si>
  <si>
    <t>Esercizio 1 – due profili</t>
  </si>
  <si>
    <t>Giudicano i profili da aspetto e "normalità" delle foto ("sembra fake tantissimo", "questo è più bello", "sembra più una persona vera"); notano il tag dell'università. Sofia: "l'apparenza può ingannare".</t>
  </si>
  <si>
    <t>S14</t>
  </si>
  <si>
    <t>Aurora, Giulia, Chiara</t>
  </si>
  <si>
    <t xml:space="preserve">Usano i follower come indizio ma in modo incoerente: 436 follower "non so"; per Aurora 600 follower "già mi sembra una cosa finta". Confrontano con il proprio numero di follower. </t>
  </si>
  <si>
    <t>questo può essere un esempio di indicatore errato/incoerente da usare.</t>
  </si>
  <si>
    <t>S15</t>
  </si>
  <si>
    <t>Giulia, Aurora</t>
  </si>
  <si>
    <t>Esercizio 2 – foto IA</t>
  </si>
  <si>
    <t>Il gruppo individua correttamente la foto generata con l'IA (dopo averla ingrandita). Aurora motiva il giudizio sull'altro profilo con la "faccia" della persona.</t>
  </si>
  <si>
    <t>S16</t>
  </si>
  <si>
    <t>Sofia, Giulia</t>
  </si>
  <si>
    <t>Deepfake a scuola</t>
  </si>
  <si>
    <t>Criterio per distinguere scherzo e cosa seria: "quando c'è uno scherzo si ride e basta", "se si fanno battute", se la vittima ride. Alla domanda sul disagio nascosto: "si capisce, dai".</t>
  </si>
  <si>
    <t>Estratto 2 (08:44)</t>
  </si>
  <si>
    <t>altro possibile fallacia argomentativa. bias da eccesso di fiducia?(overconfidence bias)</t>
  </si>
  <si>
    <t>S17</t>
  </si>
  <si>
    <t xml:space="preserve">Nei casi seri: parlarne "in modo discreto, senza prendere le parti e non esprirere opinioni senza conoscere a fondo la situazione. Cita un'esperienza vissuta quest'anno. </t>
  </si>
  <si>
    <t>Estratto 2</t>
  </si>
  <si>
    <t>S18</t>
  </si>
  <si>
    <t>Sofia, Chiara, Martina, Aurora</t>
  </si>
  <si>
    <t xml:space="preserve">Se la vittima è in difficoltà: "vado da lei e ci parlo io", "offriamo la nostra disponibilità", "parlerei con il prof al posto suo", "ci parlo io con chi di dovere". </t>
  </si>
  <si>
    <t>mette in luce la utilità del nostro spazio forum</t>
  </si>
  <si>
    <t>S19</t>
  </si>
  <si>
    <t>Sofia, Aurora</t>
  </si>
  <si>
    <t>Coinvolgere un adulto "dipende da quanto è grave": una presa in giro è diverso da cyberbullismo.</t>
  </si>
  <si>
    <t>anche qua si evidenzia il rischio di sottostimare il problema</t>
  </si>
  <si>
    <t>S20</t>
  </si>
  <si>
    <t>Tutte</t>
  </si>
  <si>
    <t>Esercizio 3 – chat di adescamento</t>
  </si>
  <si>
    <t>Non concordano sul primo messaggio sospetto: Sofia indica "sei molto più matura" / "nessuno mi capisce come te" (troppo presto); Aurora "mandami una foto" e poi "non dirlo ai tuoi"; Martina "non dirlo ai tuoi"; Aurora cambia idea più volte ("dal 5... dal 6... almeno dal 4").</t>
  </si>
  <si>
    <t>si evidenzia l'importanza di includere nel training sul definire i boundaries e il rispetto  per gli altri e per se stessi.</t>
  </si>
  <si>
    <t>S21</t>
  </si>
  <si>
    <t>Aurora, Sofia</t>
  </si>
  <si>
    <t>Aurora: "a me va bene se mi scrive strano", legge le lusinghe come "carenza affettiva" dell'altro. Sofia: "dopo due giorni è esagerato".</t>
  </si>
  <si>
    <t>Estratto 3 (13:13)</t>
  </si>
  <si>
    <t>S22</t>
  </si>
  <si>
    <t>Aurora, Giulia</t>
  </si>
  <si>
    <t>Richiesta di foto</t>
  </si>
  <si>
    <t>A entrambe è stata chiesta una foto da qualcuno che conoscevano (per Giulia un ragazzo della stessa scuola). Aurora non l'ha mandata e l'ha bloccato.</t>
  </si>
  <si>
    <t>Estratto 4 (14:02)</t>
  </si>
  <si>
    <t>S23</t>
  </si>
  <si>
    <t>Dopo un mese di conoscenza Aurora "magari gliela mando", "dipende che foto", anche senza essersi mai visti "se so chi è". Sofia: "solo online no", bisogna vedersi prima. Disaccordo aperto.</t>
  </si>
  <si>
    <t>Estratto 4</t>
  </si>
  <si>
    <t>aurora potenziale utente estremo base molto inesperto</t>
  </si>
  <si>
    <t>S24</t>
  </si>
  <si>
    <t>Una foto a sfondo sessuale non la manderebbero a nessuno, nemmeno a persone conosciute.</t>
  </si>
  <si>
    <t>S25</t>
  </si>
  <si>
    <t>Giulia, Martina, Sofia, Chiara</t>
  </si>
  <si>
    <t>Minacce</t>
  </si>
  <si>
    <t>Amico minacciato di diffusione di una foto: Giulia e Martina "bloccarlo e segnalarlo"; Sofia "andrei dai carabinieri"; Chiara "dal prof"; Giulia obietta "ma poi il prof vede la chat".</t>
  </si>
  <si>
    <t>Estratto 5 (16:43)</t>
  </si>
  <si>
    <t>S26</t>
  </si>
  <si>
    <t>"Io non voglio dirlo a mia mamma, quindi piuttosto vado dai carabinieri."</t>
  </si>
  <si>
    <t>Estratto 5</t>
  </si>
  <si>
    <t>S27</t>
  </si>
  <si>
    <t>Alla domanda diretta "non ne parlereste prima con i genitori?" rispondono in coro: "prima con i genitori e poi andiamo insieme dai carabinieri".</t>
  </si>
  <si>
    <t>S28</t>
  </si>
  <si>
    <t>Tutte, Aurora</t>
  </si>
  <si>
    <t>Se dovessero decidere da sole: "a un'amica". Aurora accenna all'IA, ma le altre su IA o forum: "no, no", "vado subito da una persona vera, per confidarmi".</t>
  </si>
  <si>
    <t>ebidenziato un problema: bisogno di parlare con una persona vera --&gt; il forum serve a questo</t>
  </si>
  <si>
    <t>S29</t>
  </si>
  <si>
    <t>Sofia, Giulia, tutte</t>
  </si>
  <si>
    <t>Forum anonimo</t>
  </si>
  <si>
    <t>Sofia: utile "se sei sicura che sono le persone che dicono di essere"; Giulia: "non so quanta gente riuscirebbe a dire quello che è successo". Saputo che è anonimo: tutte "ah, sì"; Giulia: "come NGL".</t>
  </si>
  <si>
    <t>Estratto 6 (18:37)</t>
  </si>
  <si>
    <t>giulia evidenzia il blocco a parlare di cose difficili. l'anonimità sembra dover essere un requisito del forum.</t>
  </si>
  <si>
    <t>S30</t>
  </si>
  <si>
    <t>Esperienza personale</t>
  </si>
  <si>
    <t>Alcune compagne hanno creato una chat di gruppo contro di lei con insulti e sue foto (prese da Instagram o mandate alle amiche). L'ha scoperto tramite un amico.</t>
  </si>
  <si>
    <t>aurora si conferma utente estremo</t>
  </si>
  <si>
    <t>S31</t>
  </si>
  <si>
    <t>Non voleva dirlo ai genitori; l'ha detto solo alle amiche, che l'hanno convinta: l'hanno detto insieme ai genitori.</t>
  </si>
  <si>
    <t>sottolinea il bisogno di una cerchia di supporto</t>
  </si>
  <si>
    <t>S32</t>
  </si>
  <si>
    <t>Aurora, Giulia, Martina</t>
  </si>
  <si>
    <t>I prof si sono allarmati; i genitori sono andati in presidenza ma "il preside non ha voluto fare nulla". Giulia: "alla fine non hanno fatto abbastanza".</t>
  </si>
  <si>
    <t>non sempre le istituzionisono in grado di rispondere: a volte si minimizza il problema o le sue conseguenze sulla vittima</t>
  </si>
  <si>
    <t>S33</t>
  </si>
  <si>
    <t>La sua paura principale era che le foto venissero modificate con l'IA ("si può fare qualunque cosa, anche se non è vera"). Non è successo.</t>
  </si>
  <si>
    <t>D01</t>
  </si>
  <si>
    <t>Intervista docente 09/10</t>
  </si>
  <si>
    <t>Docente</t>
  </si>
  <si>
    <t>Scuola e IA</t>
  </si>
  <si>
    <t>La nuova dirigente ha emanato un atto di indirizzo per regolamentare l'uso dell'IA nel PTOF; non è ancora stato attivato nulla; i docenti non sono obbligati a usarla.</t>
  </si>
  <si>
    <t>si  sottoliea la lentezza di ripsposta da parte delle istituzioni</t>
  </si>
  <si>
    <t>D02</t>
  </si>
  <si>
    <t>Non ha notato cambiamenti nei propri insegnamenti(matematica e fisica) né nelle relazioni tra studenti; non ha mai sentito studenti parlare di IA.</t>
  </si>
  <si>
    <t>D03</t>
  </si>
  <si>
    <t>L'anno scorso in una classe si è tenuto un corso sull'IA; alcuni studenti si sono mostrati "parecchio ferrati".</t>
  </si>
  <si>
    <t>D04</t>
  </si>
  <si>
    <t>Ritiene utile uno strumento educativo IA, "non solo per i ragazzi: anche per gli adulti, per tutti".</t>
  </si>
  <si>
    <t>anche gli adulti potrebbero non essere in gr&lt;o d idare supporto ai propri figli.</t>
  </si>
  <si>
    <t>D05</t>
  </si>
  <si>
    <t>Contenuto base da insegnare: l'IA può sbagliare, servono competenze per verificare quello che produce.</t>
  </si>
  <si>
    <t>Estratto 1 (P1 03:45)</t>
  </si>
  <si>
    <t>D06</t>
  </si>
  <si>
    <t>Casi a scuola</t>
  </si>
  <si>
    <t>Ha saputo indirettamente di una studentessa (non sua) che usava l'IA come aiuto psicologico.</t>
  </si>
  <si>
    <t>Estratto 2 (P1 04:38)</t>
  </si>
  <si>
    <t>D07</t>
  </si>
  <si>
    <t>Procedura: si informa il coordinatore, che informa la famiglia o parla con lo studente e cerca un aiuto specifico; il docente "prende atto" e passa "la palla a persone più competenti".</t>
  </si>
  <si>
    <t xml:space="preserve">nelle istituzioni c'è rischio di scaricabarile perché non sono sempre in grado di gestire la situazione (sperando di arrivare a qualcuno in grado), e la procedura non consente di fornire il supporto necessario. </t>
  </si>
  <si>
    <t>D08</t>
  </si>
  <si>
    <t>Parla direttamente con gli studenti in difficoltà, ma bisogna capire quando fermarsi e rimandare gli studenti a figure professionali.</t>
  </si>
  <si>
    <t>il sopporto non necessar</t>
  </si>
  <si>
    <t>D09</t>
  </si>
  <si>
    <t>Forum</t>
  </si>
  <si>
    <t>Un forum di condivisione sarebbe "utilissimo", "un momento di confronto".</t>
  </si>
  <si>
    <t>Estratto 3 (P1 06:32)</t>
  </si>
  <si>
    <t>D10</t>
  </si>
  <si>
    <t>Spazi a scuola</t>
  </si>
  <si>
    <t>Le assemblee d'istituto si usano quasi solo per le elezioni; c'è la biblioteca; non esistono spazi specifici per parlare di questi temi.</t>
  </si>
  <si>
    <t>evidenzia il bisogno di uno spazio, che potrebbe fornire il nostro progetto</t>
  </si>
  <si>
    <t>D11</t>
  </si>
  <si>
    <t>Rapporto con gli studenti</t>
  </si>
  <si>
    <t>Con gli studenti bisogna parlare "alla pari", mai "su un piedistallo"; linguaggio "semplice e diretto"; se una cosa sembra imposta "la rigettano immediatamente".</t>
  </si>
  <si>
    <t>Estratto 4 (P1 09:46)</t>
  </si>
  <si>
    <t>aiuto peer to peer e non top down. no imposizioni/fare didattico e istituzionale. la nostra soluzione deve uno scambio tra eguali.</t>
  </si>
  <si>
    <t>D12</t>
  </si>
  <si>
    <t>Il telefono a scuola è vietato del tutto (circolare ministeriale), anche per uso didattico.</t>
  </si>
  <si>
    <t>D13</t>
  </si>
  <si>
    <t>Genitori e adulti</t>
  </si>
  <si>
    <t>anche gli adulti non sono preparati. Secondo lui si parla poco di contenuti ai-positive nei media tradizionali, e troppo con toni catastrofici. Non si parla di altri rischi più comuni.</t>
  </si>
  <si>
    <t>la nostra soluziione è utile perchè nemmeno gli adulti sanno come affrontare il problema e i ragazzi non sanno a chi chiedere aiuto su come inoformarsi.</t>
  </si>
  <si>
    <t>D14</t>
  </si>
  <si>
    <t>Deepfake</t>
  </si>
  <si>
    <t>Davanti a un deepfake di una studentessa: chiederebbe se i genitori lo sanno, li convocherebbe e indicherebbe la polizia postale.</t>
  </si>
  <si>
    <t>Estratto 5 (P1 17:11)</t>
  </si>
  <si>
    <t>D15</t>
  </si>
  <si>
    <t>Secondo lui le ragazze non ne parlano coi genitori per il tabù sul sesso, la vergogna e la paura di rimproveri o punizioni; il dialogo in famiglia "si è perso". (Opinione, non osservazione diretta.)</t>
  </si>
  <si>
    <t>Estratto 6 (P1 18:17)</t>
  </si>
  <si>
    <t>D16</t>
  </si>
  <si>
    <t>Se la studentessa non volesse coinvolgere i genitori, la indirizzerebbe a denunciare e potrebbe accompagnarla alla polizia postale.</t>
  </si>
  <si>
    <t>Estratto 6</t>
  </si>
  <si>
    <t>viene indicata una via alternativa di aiuto fuori dal cerchio familiare.</t>
  </si>
  <si>
    <t>D17</t>
  </si>
  <si>
    <t>Chiedere aiuto</t>
  </si>
  <si>
    <t>La difficoltà maggiore è chiedere aiuto, per vergogna e per il "sentirsi sbagliati"; paragone con la violenza sessuale: "violenza a tutti gli effetti, anche quella virtuale".</t>
  </si>
  <si>
    <t>Estratto 7 (P1 21:07)</t>
  </si>
  <si>
    <t>D18</t>
  </si>
  <si>
    <t>Esempio: uno studente in difficoltà si è aperto dopo una semplice domanda amichevole in corridoio; servono osservazione ed empatia.</t>
  </si>
  <si>
    <t>è importante trovare una persona empatica a cui chiedere aiuto.</t>
  </si>
  <si>
    <t>D19</t>
  </si>
  <si>
    <t>La mancanza di contatto umano di una piattaforma può essere compensata dal forum: confrontandosi tra pari "ti senti già meno solo".</t>
  </si>
  <si>
    <t>Estratto 8 (P1 25:37)</t>
  </si>
  <si>
    <t>D20</t>
  </si>
  <si>
    <t>Il forum va supervisionato (filtri, un supervisore) per non farlo degenerare: qualcuno che osservi senza interagire e possa "lanciare l'allarme". Avverte: "se capiscono che sono controllati..."</t>
  </si>
  <si>
    <t>Estratto 9 (P2 00:02)</t>
  </si>
  <si>
    <t>viene evidenziato un tema motlo delicato che dovremo risolvere in modo soddisfacente.</t>
  </si>
  <si>
    <t>D21</t>
  </si>
  <si>
    <t>Esperti (prof, psicologi) da contattare volontariamente tramite app: il prof si dimostra d'accordo ("esatto perfetto, mettete un team di esperti")</t>
  </si>
  <si>
    <t>Estratto 9</t>
  </si>
  <si>
    <t>supporto alla nostra idea. possibile rimando a un altra app tipo unobravo.</t>
  </si>
  <si>
    <t>D22</t>
  </si>
  <si>
    <t>Piattaforma</t>
  </si>
  <si>
    <t>Sulla sezione di training proposta dal gruppo: "perfetto, ci dovrebbe essere".</t>
  </si>
  <si>
    <t>di nuovo supporto alla nostra idea</t>
  </si>
  <si>
    <t>D23</t>
  </si>
  <si>
    <t>Riservatezza</t>
  </si>
  <si>
    <t>Le esperienze devono restare nel forum (impedire gli screenshot); anonimato senza dati sensibili; chi scrive deve poter chiedere aiuto (team di esperti o numeri utili).</t>
  </si>
  <si>
    <t>Estratto 10 (P2 03:13)</t>
  </si>
  <si>
    <t>Incroci tra domande (base: rispondenti con consenso)</t>
  </si>
  <si>
    <t>Fiducia nel riconoscere foto IA × cosa hanno fatto l'ultima volta che hanno dubitato</t>
  </si>
  <si>
    <t>Ha fatto qualcosa</t>
  </si>
  <si>
    <t>Non ha fatto niente</t>
  </si>
  <si>
    <t>Totale</t>
  </si>
  <si>
    <t>Fiducia 1-3</t>
  </si>
  <si>
    <t>Fiducia alta (4-5)</t>
  </si>
  <si>
    <t>Fiducia nel riconoscere foto IA × saprebbe come agire</t>
  </si>
  <si>
    <t>Saper agire 1-3</t>
  </si>
  <si>
    <t>Saprebbe agire (4-5)</t>
  </si>
  <si>
    <t>Sa cos'è un deepfake × fiducia nel riconoscere foto IA</t>
  </si>
  <si>
    <t>ne ho sentito parlare</t>
  </si>
  <si>
    <t>no</t>
  </si>
  <si>
    <t>sì, saprei spiegarlo</t>
  </si>
  <si>
    <t>Genere × primo confidente</t>
  </si>
  <si>
    <t>Attenzione: solo 10 femmine e 4 non binari, confronto indicativo.</t>
  </si>
  <si>
    <t>altro</t>
  </si>
  <si>
    <t>amico o amica</t>
  </si>
  <si>
    <t>fratello o sorella</t>
  </si>
  <si>
    <t>genitore</t>
  </si>
  <si>
    <t>nessuno</t>
  </si>
  <si>
    <t>Femmina</t>
  </si>
  <si>
    <t>Maschio</t>
  </si>
  <si>
    <t>Non binario</t>
  </si>
  <si>
    <t>Preferisco non rispondere</t>
  </si>
  <si>
    <t>Età × come viene considerato un deepfake tra coetanei</t>
  </si>
  <si>
    <t>Come un semplice scherzo per farsi una risata</t>
  </si>
  <si>
    <t>Come una cosa seria e potenzialmente dannosa</t>
  </si>
  <si>
    <t>Dipende da quanto è pesante o imbarazzante il contenuto</t>
  </si>
  <si>
    <t>Non ci facciamo troppo caso o non saprei</t>
  </si>
  <si>
    <t>14</t>
  </si>
  <si>
    <t>15</t>
  </si>
  <si>
    <t>16</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</si>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</sst>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ont>
    <font>
      <b/>
      <sz val="11"/>
      <color indexed="65"/>
      <name val="Arial"/>
    </font>
    <font>
      <b/>
      <sz val="11"/>
      <name val="Arial"/>
    </font>
    <font>
      <sz val="11"/>
      <name val="Arial"/>
    </font>
    <font>
      <b/>
      <sz val="13"/>
      <name val="Arial"/>
    </font>
    <font>
      <i/>
      <sz val="11"/>
      <color rgb="FF595959"/>
      <name val="Arial"/>
    </font>
  </fonts>
  <fills count="4">
    <fill>
      <patternFill patternType="none"/>
    </fill>
    <fill>
      <patternFill patternType="gray125"/>
    </fill>
    <fill>
      <patternFill patternType="solid">
        <fgColor rgb="FF1F4E79"/>
        <bgColor indexed="56"/>
      </patternFill>
    </fill>
    <fill>
      <patternFill patternType="solid">
        <fgColor rgb="FFD9E2F3"/>
        <bgColor indexed="2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workbookViewId="0">
      <pane ySplit="1" topLeftCell="A7" activePane="bottomLeft" state="frozen"/>
      <selection pane="bottomLeft"/>
    </sheetView>
  </sheetViews>
  <sheetFormatPr defaultColWidth="8.7109375" defaultRowHeight="14.45"/>
  <cols>
    <col min="1" max="1" width="7" customWidth="1"/>
    <col min="2" max="2" width="30" customWidth="1"/>
    <col min="3" max="3" width="75.5703125" customWidth="1"/>
    <col min="4" max="4" width="24" customWidth="1"/>
    <col min="5" max="5" width="22" customWidth="1"/>
    <col min="6" max="7" width="48" customWidth="1"/>
    <col min="8" max="8" width="9" customWidth="1"/>
  </cols>
  <sheetData>
    <row r="1" spans="1:8">
      <c r="A1" s="1" t="s">
        <v>0</v>
      </c>
      <c r="B1" s="1" t="s">
        <v>1</v>
      </c>
      <c r="C1" s="1" t="s">
        <v>2</v>
      </c>
      <c r="D1" s="1" t="s">
        <v>3</v>
      </c>
      <c r="E1" s="1" t="s">
        <v>4</v>
      </c>
      <c r="F1" s="1" t="s">
        <v>5</v>
      </c>
      <c r="G1" s="1" t="s">
        <v>6</v>
      </c>
      <c r="H1" s="1" t="s">
        <v>7</v>
      </c>
    </row>
    <row r="2" spans="1:8" ht="55.15">
      <c r="A2" s="2" t="s">
        <v>8</v>
      </c>
      <c r="B2" s="3" t="s">
        <v>9</v>
      </c>
      <c r="C2" s="3" t="s">
        <v>10</v>
      </c>
      <c r="D2" s="3" t="s">
        <v>11</v>
      </c>
      <c r="E2" s="3" t="s">
        <v>12</v>
      </c>
      <c r="F2" s="3" t="s">
        <v>13</v>
      </c>
      <c r="G2" s="3" t="s">
        <v>14</v>
      </c>
      <c r="H2" s="3">
        <f>COUNTIF(Fatti!$G:$G,A2)</f>
        <v>6</v>
      </c>
    </row>
    <row r="3" spans="1:8" ht="69">
      <c r="A3" s="2" t="s">
        <v>15</v>
      </c>
      <c r="B3" s="3" t="s">
        <v>16</v>
      </c>
      <c r="C3" s="3" t="s">
        <v>17</v>
      </c>
      <c r="D3" s="3" t="s">
        <v>18</v>
      </c>
      <c r="E3" s="3" t="s">
        <v>19</v>
      </c>
      <c r="F3" s="3" t="s">
        <v>20</v>
      </c>
      <c r="G3" s="3" t="s">
        <v>21</v>
      </c>
      <c r="H3" s="3">
        <f>COUNTIF(Fatti!$G:$G,A3)</f>
        <v>8</v>
      </c>
    </row>
    <row r="4" spans="1:8" ht="110.45">
      <c r="A4" s="2" t="s">
        <v>22</v>
      </c>
      <c r="B4" s="3" t="s">
        <v>23</v>
      </c>
      <c r="C4" s="3" t="s">
        <v>24</v>
      </c>
      <c r="D4" s="3" t="s">
        <v>25</v>
      </c>
      <c r="E4" s="3" t="s">
        <v>26</v>
      </c>
      <c r="F4" s="3" t="s">
        <v>27</v>
      </c>
      <c r="G4" s="3" t="s">
        <v>28</v>
      </c>
      <c r="H4" s="3">
        <f>COUNTIF(Fatti!$G:$G,A4)</f>
        <v>1</v>
      </c>
    </row>
    <row r="5" spans="1:8" ht="69">
      <c r="A5" s="2" t="s">
        <v>29</v>
      </c>
      <c r="B5" s="3" t="s">
        <v>30</v>
      </c>
      <c r="C5" s="3" t="s">
        <v>31</v>
      </c>
      <c r="D5" s="3" t="s">
        <v>32</v>
      </c>
      <c r="E5" s="3" t="s">
        <v>12</v>
      </c>
      <c r="F5" s="3" t="s">
        <v>33</v>
      </c>
      <c r="G5" s="3" t="s">
        <v>34</v>
      </c>
      <c r="H5" s="3">
        <f>COUNTIF(Fatti!$G:$G,A5)</f>
        <v>5</v>
      </c>
    </row>
    <row r="6" spans="1:8" ht="82.9">
      <c r="A6" s="2" t="s">
        <v>35</v>
      </c>
      <c r="B6" s="3" t="s">
        <v>36</v>
      </c>
      <c r="C6" s="3" t="s">
        <v>37</v>
      </c>
      <c r="D6" s="3" t="s">
        <v>38</v>
      </c>
      <c r="E6" s="3" t="s">
        <v>39</v>
      </c>
      <c r="F6" s="3" t="s">
        <v>40</v>
      </c>
      <c r="G6" s="3" t="s">
        <v>41</v>
      </c>
      <c r="H6" s="3">
        <f>COUNTIF(Fatti!$G:$G,A6)</f>
        <v>5</v>
      </c>
    </row>
    <row r="7" spans="1:8" ht="110.45">
      <c r="A7" s="2" t="s">
        <v>42</v>
      </c>
      <c r="B7" s="3" t="s">
        <v>43</v>
      </c>
      <c r="C7" s="3" t="s">
        <v>44</v>
      </c>
      <c r="D7" s="3" t="s">
        <v>45</v>
      </c>
      <c r="E7" s="3" t="s">
        <v>46</v>
      </c>
      <c r="F7" s="3" t="s">
        <v>47</v>
      </c>
      <c r="G7" s="3" t="s">
        <v>48</v>
      </c>
      <c r="H7" s="3">
        <f>COUNTIF(Fatti!$G:$G,A7)</f>
        <v>12</v>
      </c>
    </row>
    <row r="8" spans="1:8" ht="69">
      <c r="A8" s="2" t="s">
        <v>49</v>
      </c>
      <c r="B8" s="3" t="s">
        <v>50</v>
      </c>
      <c r="C8" s="3" t="s">
        <v>51</v>
      </c>
      <c r="D8" s="3" t="s">
        <v>52</v>
      </c>
      <c r="E8" s="3" t="s">
        <v>53</v>
      </c>
      <c r="F8" s="3" t="s">
        <v>54</v>
      </c>
      <c r="G8" s="3" t="s">
        <v>55</v>
      </c>
      <c r="H8" s="3">
        <f>COUNTIF(Fatti!$G:$G,A8)</f>
        <v>10</v>
      </c>
    </row>
    <row r="9" spans="1:8" ht="82.9">
      <c r="A9" s="2" t="s">
        <v>56</v>
      </c>
      <c r="B9" s="3" t="s">
        <v>57</v>
      </c>
      <c r="C9" s="3" t="s">
        <v>58</v>
      </c>
      <c r="D9" s="3" t="s">
        <v>59</v>
      </c>
      <c r="E9" s="3" t="s">
        <v>60</v>
      </c>
      <c r="F9" s="3" t="s">
        <v>61</v>
      </c>
      <c r="G9" s="3" t="s">
        <v>62</v>
      </c>
      <c r="H9" s="3">
        <f>COUNTIF(Fatti!$G:$G,A9)</f>
        <v>7</v>
      </c>
    </row>
    <row r="10" spans="1:8" ht="41.45">
      <c r="A10" s="2" t="s">
        <v>63</v>
      </c>
      <c r="B10" s="3" t="s">
        <v>64</v>
      </c>
      <c r="C10" s="3" t="s">
        <v>65</v>
      </c>
      <c r="D10" s="3" t="s">
        <v>66</v>
      </c>
      <c r="E10" s="3" t="s">
        <v>67</v>
      </c>
      <c r="F10" s="3" t="s">
        <v>68</v>
      </c>
      <c r="G10" s="3" t="s">
        <v>69</v>
      </c>
      <c r="H10" s="3">
        <f>COUNTIF(Fatti!$G:$G,A10)</f>
        <v>2</v>
      </c>
    </row>
  </sheetData>
  <pageMargins left="0.75" right="0.75" top="1" bottom="1" header="0.51181102362204689" footer="0.51181102362204689"/>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4"/>
  <sheetViews>
    <sheetView tabSelected="1" workbookViewId="0">
      <pane ySplit="4" topLeftCell="A57" activePane="bottomLeft" state="frozen"/>
      <selection pane="bottomLeft" activeCell="I61" sqref="I61"/>
    </sheetView>
  </sheetViews>
  <sheetFormatPr defaultColWidth="8.7109375" defaultRowHeight="14.45"/>
  <cols>
    <col min="1" max="1" width="7" customWidth="1"/>
    <col min="2" max="2" width="24" customWidth="1"/>
    <col min="3" max="3" width="22" customWidth="1"/>
    <col min="4" max="4" width="24" customWidth="1"/>
    <col min="5" max="5" width="80" customWidth="1"/>
    <col min="6" max="6" width="18" customWidth="1"/>
    <col min="7" max="7" width="10" customWidth="1"/>
    <col min="8" max="8" width="34" customWidth="1"/>
    <col min="9" max="9" width="31.140625" customWidth="1"/>
  </cols>
  <sheetData>
    <row r="1" spans="1:9" ht="16.899999999999999">
      <c r="A1" s="4" t="s">
        <v>70</v>
      </c>
    </row>
    <row r="2" spans="1:9">
      <c r="A2" s="5" t="s">
        <v>71</v>
      </c>
    </row>
    <row r="4" spans="1:9" ht="27.6">
      <c r="A4" s="1" t="s">
        <v>72</v>
      </c>
      <c r="B4" s="1" t="s">
        <v>73</v>
      </c>
      <c r="C4" s="1" t="s">
        <v>74</v>
      </c>
      <c r="D4" s="1" t="s">
        <v>75</v>
      </c>
      <c r="E4" s="1" t="s">
        <v>76</v>
      </c>
      <c r="F4" s="1" t="s">
        <v>77</v>
      </c>
      <c r="G4" s="1" t="s">
        <v>1</v>
      </c>
      <c r="H4" s="1" t="s">
        <v>78</v>
      </c>
      <c r="I4" t="s">
        <v>79</v>
      </c>
    </row>
    <row r="5" spans="1:9" ht="27.6">
      <c r="A5" s="3" t="s">
        <v>80</v>
      </c>
      <c r="B5" s="3" t="s">
        <v>81</v>
      </c>
      <c r="C5" s="3" t="s">
        <v>82</v>
      </c>
      <c r="D5" s="3" t="s">
        <v>83</v>
      </c>
      <c r="E5" s="3" t="s">
        <v>84</v>
      </c>
      <c r="F5" s="3"/>
      <c r="G5" s="3" t="s">
        <v>8</v>
      </c>
      <c r="H5" s="3" t="str">
        <f>IFERROR(INDEX(Pattern!$B:$B,MATCH(G5,Pattern!$A:$A,0)),"")</f>
        <v>Abitudini online e contatti con sconosciuti</v>
      </c>
    </row>
    <row r="6" spans="1:9" ht="27.6">
      <c r="A6" s="3" t="s">
        <v>85</v>
      </c>
      <c r="B6" s="3" t="s">
        <v>81</v>
      </c>
      <c r="C6" s="3" t="s">
        <v>86</v>
      </c>
      <c r="D6" s="3" t="s">
        <v>83</v>
      </c>
      <c r="E6" s="3" t="s">
        <v>87</v>
      </c>
      <c r="F6" s="3"/>
      <c r="G6" s="3" t="s">
        <v>8</v>
      </c>
      <c r="H6" s="3" t="str">
        <f>IFERROR(INDEX(Pattern!$B:$B,MATCH(G6,Pattern!$A:$A,0)),"")</f>
        <v>Abitudini online e contatti con sconosciuti</v>
      </c>
    </row>
    <row r="7" spans="1:9" ht="27.6">
      <c r="A7" s="3" t="s">
        <v>88</v>
      </c>
      <c r="B7" s="3" t="s">
        <v>81</v>
      </c>
      <c r="C7" s="3" t="s">
        <v>89</v>
      </c>
      <c r="D7" s="3" t="s">
        <v>90</v>
      </c>
      <c r="E7" s="3" t="s">
        <v>91</v>
      </c>
      <c r="F7" s="3"/>
      <c r="G7" s="3" t="s">
        <v>8</v>
      </c>
      <c r="H7" s="3" t="str">
        <f>IFERROR(INDEX(Pattern!$B:$B,MATCH(G7,Pattern!$A:$A,0)),"")</f>
        <v>Abitudini online e contatti con sconosciuti</v>
      </c>
    </row>
    <row r="8" spans="1:9" ht="27.6">
      <c r="A8" s="3" t="s">
        <v>92</v>
      </c>
      <c r="B8" s="3" t="s">
        <v>81</v>
      </c>
      <c r="C8" s="3" t="s">
        <v>89</v>
      </c>
      <c r="D8" s="3" t="s">
        <v>90</v>
      </c>
      <c r="E8" s="3" t="s">
        <v>93</v>
      </c>
      <c r="F8" s="3"/>
      <c r="G8" s="3" t="s">
        <v>8</v>
      </c>
      <c r="H8" s="3" t="str">
        <f>IFERROR(INDEX(Pattern!$B:$B,MATCH(G8,Pattern!$A:$A,0)),"")</f>
        <v>Abitudini online e contatti con sconosciuti</v>
      </c>
    </row>
    <row r="9" spans="1:9" ht="27.6">
      <c r="A9" s="3" t="s">
        <v>94</v>
      </c>
      <c r="B9" s="3" t="s">
        <v>81</v>
      </c>
      <c r="C9" s="3" t="s">
        <v>95</v>
      </c>
      <c r="D9" s="3" t="s">
        <v>96</v>
      </c>
      <c r="E9" s="3" t="s">
        <v>97</v>
      </c>
      <c r="F9" s="3"/>
      <c r="G9" s="3" t="s">
        <v>15</v>
      </c>
      <c r="H9" s="3" t="str">
        <f>IFERROR(INDEX(Pattern!$B:$B,MATCH(G9,Pattern!$A:$A,0)),"")</f>
        <v>Come valutano se un profilo è affidabile</v>
      </c>
    </row>
    <row r="10" spans="1:9" ht="27.6">
      <c r="A10" s="3" t="s">
        <v>98</v>
      </c>
      <c r="B10" s="3" t="s">
        <v>81</v>
      </c>
      <c r="C10" s="3" t="s">
        <v>99</v>
      </c>
      <c r="D10" s="3" t="s">
        <v>96</v>
      </c>
      <c r="E10" s="3" t="s">
        <v>100</v>
      </c>
      <c r="F10" s="3"/>
      <c r="G10" s="3" t="s">
        <v>8</v>
      </c>
      <c r="H10" s="3" t="str">
        <f>IFERROR(INDEX(Pattern!$B:$B,MATCH(G10,Pattern!$A:$A,0)),"")</f>
        <v>Abitudini online e contatti con sconosciuti</v>
      </c>
    </row>
    <row r="11" spans="1:9" ht="27.6">
      <c r="A11" s="3" t="s">
        <v>101</v>
      </c>
      <c r="B11" s="3" t="s">
        <v>81</v>
      </c>
      <c r="C11" s="3" t="s">
        <v>102</v>
      </c>
      <c r="D11" s="3" t="s">
        <v>96</v>
      </c>
      <c r="E11" s="3" t="s">
        <v>103</v>
      </c>
      <c r="F11" s="3"/>
      <c r="G11" s="3" t="s">
        <v>8</v>
      </c>
      <c r="H11" s="3" t="str">
        <f>IFERROR(INDEX(Pattern!$B:$B,MATCH(G11,Pattern!$A:$A,0)),"")</f>
        <v>Abitudini online e contatti con sconosciuti</v>
      </c>
    </row>
    <row r="12" spans="1:9" ht="41.45">
      <c r="A12" s="3" t="s">
        <v>104</v>
      </c>
      <c r="B12" s="3" t="s">
        <v>81</v>
      </c>
      <c r="C12" s="3" t="s">
        <v>86</v>
      </c>
      <c r="D12" s="3" t="s">
        <v>96</v>
      </c>
      <c r="E12" s="3" t="s">
        <v>105</v>
      </c>
      <c r="F12" s="3" t="s">
        <v>106</v>
      </c>
      <c r="G12" s="3" t="s">
        <v>15</v>
      </c>
      <c r="H12" s="3" t="str">
        <f>IFERROR(INDEX(Pattern!$B:$B,MATCH(G12,Pattern!$A:$A,0)),"")</f>
        <v>Come valutano se un profilo è affidabile</v>
      </c>
    </row>
    <row r="13" spans="1:9" ht="27.6">
      <c r="A13" s="3" t="s">
        <v>107</v>
      </c>
      <c r="B13" s="3" t="s">
        <v>81</v>
      </c>
      <c r="C13" s="3" t="s">
        <v>95</v>
      </c>
      <c r="D13" s="3" t="s">
        <v>108</v>
      </c>
      <c r="E13" s="3" t="s">
        <v>109</v>
      </c>
      <c r="F13" s="3"/>
      <c r="G13" s="3" t="s">
        <v>15</v>
      </c>
      <c r="H13" s="3" t="str">
        <f>IFERROR(INDEX(Pattern!$B:$B,MATCH(G13,Pattern!$A:$A,0)),"")</f>
        <v>Come valutano se un profilo è affidabile</v>
      </c>
    </row>
    <row r="14" spans="1:9" ht="27.6">
      <c r="A14" s="3" t="s">
        <v>110</v>
      </c>
      <c r="B14" s="3" t="s">
        <v>81</v>
      </c>
      <c r="C14" s="3" t="s">
        <v>111</v>
      </c>
      <c r="D14" s="3" t="s">
        <v>108</v>
      </c>
      <c r="E14" s="3" t="s">
        <v>112</v>
      </c>
      <c r="F14" s="3"/>
      <c r="G14" s="3" t="s">
        <v>15</v>
      </c>
      <c r="H14" s="3" t="str">
        <f>IFERROR(INDEX(Pattern!$B:$B,MATCH(G14,Pattern!$A:$A,0)),"")</f>
        <v>Come valutano se un profilo è affidabile</v>
      </c>
    </row>
    <row r="15" spans="1:9" ht="27.6">
      <c r="A15" s="3" t="s">
        <v>113</v>
      </c>
      <c r="B15" s="3" t="s">
        <v>81</v>
      </c>
      <c r="C15" s="3" t="s">
        <v>86</v>
      </c>
      <c r="D15" s="3" t="s">
        <v>108</v>
      </c>
      <c r="E15" s="3" t="s">
        <v>114</v>
      </c>
      <c r="F15" s="3"/>
      <c r="G15" s="3" t="s">
        <v>15</v>
      </c>
      <c r="H15" s="3" t="str">
        <f>IFERROR(INDEX(Pattern!$B:$B,MATCH(G15,Pattern!$A:$A,0)),"")</f>
        <v>Come valutano se un profilo è affidabile</v>
      </c>
    </row>
    <row r="16" spans="1:9" ht="27.6">
      <c r="A16" s="3" t="s">
        <v>115</v>
      </c>
      <c r="B16" s="3" t="s">
        <v>81</v>
      </c>
      <c r="C16" s="3" t="s">
        <v>102</v>
      </c>
      <c r="D16" s="3" t="s">
        <v>108</v>
      </c>
      <c r="E16" s="3" t="s">
        <v>116</v>
      </c>
      <c r="F16" s="3"/>
      <c r="G16" s="3" t="s">
        <v>15</v>
      </c>
      <c r="H16" s="3" t="str">
        <f>IFERROR(INDEX(Pattern!$B:$B,MATCH(G16,Pattern!$A:$A,0)),"")</f>
        <v>Come valutano se un profilo è affidabile</v>
      </c>
    </row>
    <row r="17" spans="1:9" ht="41.45">
      <c r="A17" s="3" t="s">
        <v>117</v>
      </c>
      <c r="B17" s="3" t="s">
        <v>81</v>
      </c>
      <c r="C17" s="3" t="s">
        <v>118</v>
      </c>
      <c r="D17" s="3" t="s">
        <v>119</v>
      </c>
      <c r="E17" s="3" t="s">
        <v>120</v>
      </c>
      <c r="F17" s="3"/>
      <c r="G17" s="3" t="s">
        <v>15</v>
      </c>
      <c r="H17" s="3" t="str">
        <f>IFERROR(INDEX(Pattern!$B:$B,MATCH(G17,Pattern!$A:$A,0)),"")</f>
        <v>Come valutano se un profilo è affidabile</v>
      </c>
    </row>
    <row r="18" spans="1:9" ht="41.45">
      <c r="A18" s="3" t="s">
        <v>121</v>
      </c>
      <c r="B18" s="3" t="s">
        <v>81</v>
      </c>
      <c r="C18" s="3" t="s">
        <v>122</v>
      </c>
      <c r="D18" s="3" t="s">
        <v>119</v>
      </c>
      <c r="E18" s="3" t="s">
        <v>123</v>
      </c>
      <c r="F18" s="3"/>
      <c r="G18" s="3" t="s">
        <v>15</v>
      </c>
      <c r="H18" s="3" t="str">
        <f>IFERROR(INDEX(Pattern!$B:$B,MATCH(G18,Pattern!$A:$A,0)),"")</f>
        <v>Come valutano se un profilo è affidabile</v>
      </c>
      <c r="I18" t="s">
        <v>124</v>
      </c>
    </row>
    <row r="19" spans="1:9" ht="27.6">
      <c r="A19" s="3" t="s">
        <v>125</v>
      </c>
      <c r="B19" s="3" t="s">
        <v>81</v>
      </c>
      <c r="C19" s="3" t="s">
        <v>126</v>
      </c>
      <c r="D19" s="3" t="s">
        <v>127</v>
      </c>
      <c r="E19" s="3" t="s">
        <v>128</v>
      </c>
      <c r="F19" s="3"/>
      <c r="G19" s="3" t="s">
        <v>22</v>
      </c>
      <c r="H19" s="3" t="str">
        <f>IFERROR(INDEX(Pattern!$B:$B,MATCH(G19,Pattern!$A:$A,0)),"")</f>
        <v>Fiducia nelle proprie capacità vs comportamenti reali</v>
      </c>
    </row>
    <row r="20" spans="1:9" ht="41.45">
      <c r="A20" s="3" t="s">
        <v>129</v>
      </c>
      <c r="B20" s="3" t="s">
        <v>81</v>
      </c>
      <c r="C20" s="3" t="s">
        <v>130</v>
      </c>
      <c r="D20" s="3" t="s">
        <v>131</v>
      </c>
      <c r="E20" s="3" t="s">
        <v>132</v>
      </c>
      <c r="F20" s="3" t="s">
        <v>133</v>
      </c>
      <c r="G20" s="3" t="s">
        <v>29</v>
      </c>
      <c r="H20" s="3" t="str">
        <f>IFERROR(INDEX(Pattern!$B:$B,MATCH(G20,Pattern!$A:$A,0)),"")</f>
        <v>Deepfake e contenuti falsi tra coetanei</v>
      </c>
      <c r="I20" t="s">
        <v>134</v>
      </c>
    </row>
    <row r="21" spans="1:9" ht="27.6">
      <c r="A21" s="3" t="s">
        <v>135</v>
      </c>
      <c r="B21" s="3" t="s">
        <v>81</v>
      </c>
      <c r="C21" s="3" t="s">
        <v>86</v>
      </c>
      <c r="D21" s="3" t="s">
        <v>131</v>
      </c>
      <c r="E21" s="3" t="s">
        <v>136</v>
      </c>
      <c r="F21" s="3" t="s">
        <v>137</v>
      </c>
      <c r="G21" s="3" t="s">
        <v>29</v>
      </c>
      <c r="H21" s="3" t="str">
        <f>IFERROR(INDEX(Pattern!$B:$B,MATCH(G21,Pattern!$A:$A,0)),"")</f>
        <v>Deepfake e contenuti falsi tra coetanei</v>
      </c>
    </row>
    <row r="22" spans="1:9" ht="27.6">
      <c r="A22" s="3" t="s">
        <v>138</v>
      </c>
      <c r="B22" s="3" t="s">
        <v>81</v>
      </c>
      <c r="C22" s="3" t="s">
        <v>139</v>
      </c>
      <c r="D22" s="3" t="s">
        <v>131</v>
      </c>
      <c r="E22" s="3" t="s">
        <v>140</v>
      </c>
      <c r="F22" s="3" t="s">
        <v>137</v>
      </c>
      <c r="G22" s="3" t="s">
        <v>42</v>
      </c>
      <c r="H22" s="3" t="str">
        <f>IFERROR(INDEX(Pattern!$B:$B,MATCH(G22,Pattern!$A:$A,0)),"")</f>
        <v>Chiedere aiuto: a chi, e perché no</v>
      </c>
      <c r="I22" t="s">
        <v>141</v>
      </c>
    </row>
    <row r="23" spans="1:9" ht="27.6">
      <c r="A23" s="3" t="s">
        <v>142</v>
      </c>
      <c r="B23" s="3" t="s">
        <v>81</v>
      </c>
      <c r="C23" s="3" t="s">
        <v>143</v>
      </c>
      <c r="D23" s="3" t="s">
        <v>131</v>
      </c>
      <c r="E23" s="3" t="s">
        <v>144</v>
      </c>
      <c r="F23" s="3" t="s">
        <v>137</v>
      </c>
      <c r="G23" s="3" t="s">
        <v>29</v>
      </c>
      <c r="H23" s="3" t="str">
        <f>IFERROR(INDEX(Pattern!$B:$B,MATCH(G23,Pattern!$A:$A,0)),"")</f>
        <v>Deepfake e contenuti falsi tra coetanei</v>
      </c>
      <c r="I23" t="s">
        <v>145</v>
      </c>
    </row>
    <row r="24" spans="1:9" ht="55.15">
      <c r="A24" s="3" t="s">
        <v>146</v>
      </c>
      <c r="B24" s="3" t="s">
        <v>81</v>
      </c>
      <c r="C24" s="3" t="s">
        <v>147</v>
      </c>
      <c r="D24" s="3" t="s">
        <v>148</v>
      </c>
      <c r="E24" s="3" t="s">
        <v>149</v>
      </c>
      <c r="F24" s="3"/>
      <c r="G24" s="3" t="s">
        <v>35</v>
      </c>
      <c r="H24" s="3" t="str">
        <f>IFERROR(INDEX(Pattern!$B:$B,MATCH(G24,Pattern!$A:$A,0)),"")</f>
        <v>Riconoscere l'adescamento e le richieste di foto</v>
      </c>
      <c r="I24" t="s">
        <v>150</v>
      </c>
    </row>
    <row r="25" spans="1:9" ht="27.6">
      <c r="A25" s="3" t="s">
        <v>151</v>
      </c>
      <c r="B25" s="3" t="s">
        <v>81</v>
      </c>
      <c r="C25" s="3" t="s">
        <v>152</v>
      </c>
      <c r="D25" s="3" t="s">
        <v>148</v>
      </c>
      <c r="E25" s="3" t="s">
        <v>153</v>
      </c>
      <c r="F25" s="3" t="s">
        <v>154</v>
      </c>
      <c r="G25" s="3" t="s">
        <v>35</v>
      </c>
      <c r="H25" s="3" t="str">
        <f>IFERROR(INDEX(Pattern!$B:$B,MATCH(G25,Pattern!$A:$A,0)),"")</f>
        <v>Riconoscere l'adescamento e le richieste di foto</v>
      </c>
    </row>
    <row r="26" spans="1:9" ht="27.6">
      <c r="A26" s="3" t="s">
        <v>155</v>
      </c>
      <c r="B26" s="3" t="s">
        <v>81</v>
      </c>
      <c r="C26" s="3" t="s">
        <v>156</v>
      </c>
      <c r="D26" s="3" t="s">
        <v>157</v>
      </c>
      <c r="E26" s="3" t="s">
        <v>158</v>
      </c>
      <c r="F26" s="3" t="s">
        <v>159</v>
      </c>
      <c r="G26" s="3" t="s">
        <v>35</v>
      </c>
      <c r="H26" s="3" t="str">
        <f>IFERROR(INDEX(Pattern!$B:$B,MATCH(G26,Pattern!$A:$A,0)),"")</f>
        <v>Riconoscere l'adescamento e le richieste di foto</v>
      </c>
    </row>
    <row r="27" spans="1:9" ht="41.45">
      <c r="A27" s="3" t="s">
        <v>160</v>
      </c>
      <c r="B27" s="3" t="s">
        <v>81</v>
      </c>
      <c r="C27" s="3" t="s">
        <v>152</v>
      </c>
      <c r="D27" s="3" t="s">
        <v>157</v>
      </c>
      <c r="E27" s="3" t="s">
        <v>161</v>
      </c>
      <c r="F27" s="3" t="s">
        <v>162</v>
      </c>
      <c r="G27" s="3" t="s">
        <v>35</v>
      </c>
      <c r="H27" s="3" t="str">
        <f>IFERROR(INDEX(Pattern!$B:$B,MATCH(G27,Pattern!$A:$A,0)),"")</f>
        <v>Riconoscere l'adescamento e le richieste di foto</v>
      </c>
      <c r="I27" t="s">
        <v>163</v>
      </c>
    </row>
    <row r="28" spans="1:9" ht="27.6">
      <c r="A28" s="3" t="s">
        <v>164</v>
      </c>
      <c r="B28" s="3" t="s">
        <v>81</v>
      </c>
      <c r="C28" s="3" t="s">
        <v>147</v>
      </c>
      <c r="D28" s="3" t="s">
        <v>157</v>
      </c>
      <c r="E28" s="3" t="s">
        <v>165</v>
      </c>
      <c r="F28" s="3" t="s">
        <v>162</v>
      </c>
      <c r="G28" s="3" t="s">
        <v>35</v>
      </c>
      <c r="H28" s="3" t="str">
        <f>IFERROR(INDEX(Pattern!$B:$B,MATCH(G28,Pattern!$A:$A,0)),"")</f>
        <v>Riconoscere l'adescamento e le richieste di foto</v>
      </c>
    </row>
    <row r="29" spans="1:9" ht="41.45">
      <c r="A29" s="3" t="s">
        <v>166</v>
      </c>
      <c r="B29" s="3" t="s">
        <v>81</v>
      </c>
      <c r="C29" s="3" t="s">
        <v>167</v>
      </c>
      <c r="D29" s="3" t="s">
        <v>168</v>
      </c>
      <c r="E29" s="3" t="s">
        <v>169</v>
      </c>
      <c r="F29" s="3" t="s">
        <v>170</v>
      </c>
      <c r="G29" s="3" t="s">
        <v>42</v>
      </c>
      <c r="H29" s="3" t="str">
        <f>IFERROR(INDEX(Pattern!$B:$B,MATCH(G29,Pattern!$A:$A,0)),"")</f>
        <v>Chiedere aiuto: a chi, e perché no</v>
      </c>
    </row>
    <row r="30" spans="1:9" ht="27.6">
      <c r="A30" s="3" t="s">
        <v>171</v>
      </c>
      <c r="B30" s="3" t="s">
        <v>81</v>
      </c>
      <c r="C30" s="3" t="s">
        <v>86</v>
      </c>
      <c r="D30" s="3" t="s">
        <v>168</v>
      </c>
      <c r="E30" s="3" t="s">
        <v>172</v>
      </c>
      <c r="F30" s="3" t="s">
        <v>173</v>
      </c>
      <c r="G30" s="3" t="s">
        <v>42</v>
      </c>
      <c r="H30" s="3" t="str">
        <f>IFERROR(INDEX(Pattern!$B:$B,MATCH(G30,Pattern!$A:$A,0)),"")</f>
        <v>Chiedere aiuto: a chi, e perché no</v>
      </c>
    </row>
    <row r="31" spans="1:9" ht="27.6">
      <c r="A31" s="3" t="s">
        <v>174</v>
      </c>
      <c r="B31" s="3" t="s">
        <v>81</v>
      </c>
      <c r="C31" s="3" t="s">
        <v>147</v>
      </c>
      <c r="D31" s="3" t="s">
        <v>168</v>
      </c>
      <c r="E31" s="3" t="s">
        <v>175</v>
      </c>
      <c r="F31" s="3" t="s">
        <v>173</v>
      </c>
      <c r="G31" s="3" t="s">
        <v>42</v>
      </c>
      <c r="H31" s="3" t="str">
        <f>IFERROR(INDEX(Pattern!$B:$B,MATCH(G31,Pattern!$A:$A,0)),"")</f>
        <v>Chiedere aiuto: a chi, e perché no</v>
      </c>
    </row>
    <row r="32" spans="1:9" ht="27.6">
      <c r="A32" s="3" t="s">
        <v>176</v>
      </c>
      <c r="B32" s="3" t="s">
        <v>81</v>
      </c>
      <c r="C32" s="3" t="s">
        <v>177</v>
      </c>
      <c r="D32" s="3" t="s">
        <v>168</v>
      </c>
      <c r="E32" s="3" t="s">
        <v>178</v>
      </c>
      <c r="F32" s="3" t="s">
        <v>173</v>
      </c>
      <c r="G32" s="3" t="s">
        <v>42</v>
      </c>
      <c r="H32" s="3" t="str">
        <f>IFERROR(INDEX(Pattern!$B:$B,MATCH(G32,Pattern!$A:$A,0)),"")</f>
        <v>Chiedere aiuto: a chi, e perché no</v>
      </c>
      <c r="I32" t="s">
        <v>179</v>
      </c>
    </row>
    <row r="33" spans="1:9" ht="41.45">
      <c r="A33" s="3" t="s">
        <v>180</v>
      </c>
      <c r="B33" s="3" t="s">
        <v>81</v>
      </c>
      <c r="C33" s="3" t="s">
        <v>181</v>
      </c>
      <c r="D33" s="3" t="s">
        <v>182</v>
      </c>
      <c r="E33" s="3" t="s">
        <v>183</v>
      </c>
      <c r="F33" s="3" t="s">
        <v>184</v>
      </c>
      <c r="G33" s="3" t="s">
        <v>56</v>
      </c>
      <c r="H33" s="3" t="str">
        <f>IFERROR(INDEX(Pattern!$B:$B,MATCH(G33,Pattern!$A:$A,0)),"")</f>
        <v>Idea di progetto: forum anonimo e supporto</v>
      </c>
      <c r="I33" t="s">
        <v>185</v>
      </c>
    </row>
    <row r="34" spans="1:9" ht="27.6">
      <c r="A34" s="3" t="s">
        <v>186</v>
      </c>
      <c r="B34" s="3" t="s">
        <v>81</v>
      </c>
      <c r="C34" s="3" t="s">
        <v>86</v>
      </c>
      <c r="D34" s="3" t="s">
        <v>187</v>
      </c>
      <c r="E34" s="3" t="s">
        <v>188</v>
      </c>
      <c r="F34" s="3"/>
      <c r="G34" s="3" t="s">
        <v>29</v>
      </c>
      <c r="H34" s="3" t="str">
        <f>IFERROR(INDEX(Pattern!$B:$B,MATCH(G34,Pattern!$A:$A,0)),"")</f>
        <v>Deepfake e contenuti falsi tra coetanei</v>
      </c>
      <c r="I34" t="s">
        <v>189</v>
      </c>
    </row>
    <row r="35" spans="1:9" ht="27.6">
      <c r="A35" s="3" t="s">
        <v>190</v>
      </c>
      <c r="B35" s="3" t="s">
        <v>81</v>
      </c>
      <c r="C35" s="3" t="s">
        <v>86</v>
      </c>
      <c r="D35" s="3" t="s">
        <v>187</v>
      </c>
      <c r="E35" s="3" t="s">
        <v>191</v>
      </c>
      <c r="F35" s="3"/>
      <c r="G35" s="3" t="s">
        <v>42</v>
      </c>
      <c r="H35" s="3" t="str">
        <f>IFERROR(INDEX(Pattern!$B:$B,MATCH(G35,Pattern!$A:$A,0)),"")</f>
        <v>Chiedere aiuto: a chi, e perché no</v>
      </c>
      <c r="I35" t="s">
        <v>192</v>
      </c>
    </row>
    <row r="36" spans="1:9" ht="27.6">
      <c r="A36" s="3" t="s">
        <v>193</v>
      </c>
      <c r="B36" s="3" t="s">
        <v>81</v>
      </c>
      <c r="C36" s="3" t="s">
        <v>194</v>
      </c>
      <c r="D36" s="3" t="s">
        <v>187</v>
      </c>
      <c r="E36" s="3" t="s">
        <v>195</v>
      </c>
      <c r="F36" s="3"/>
      <c r="G36" s="3" t="s">
        <v>49</v>
      </c>
      <c r="H36" s="3" t="str">
        <f>IFERROR(INDEX(Pattern!$B:$B,MATCH(G36,Pattern!$A:$A,0)),"")</f>
        <v>Prevenzione e ruolo della scuola</v>
      </c>
      <c r="I36" t="s">
        <v>196</v>
      </c>
    </row>
    <row r="37" spans="1:9" ht="27.6">
      <c r="A37" s="3" t="s">
        <v>197</v>
      </c>
      <c r="B37" s="3" t="s">
        <v>81</v>
      </c>
      <c r="C37" s="3" t="s">
        <v>86</v>
      </c>
      <c r="D37" s="3" t="s">
        <v>187</v>
      </c>
      <c r="E37" s="3" t="s">
        <v>198</v>
      </c>
      <c r="F37" s="3"/>
      <c r="G37" s="3" t="s">
        <v>29</v>
      </c>
      <c r="H37" s="3" t="str">
        <f>IFERROR(INDEX(Pattern!$B:$B,MATCH(G37,Pattern!$A:$A,0)),"")</f>
        <v>Deepfake e contenuti falsi tra coetanei</v>
      </c>
    </row>
    <row r="38" spans="1:9">
      <c r="A38" s="3"/>
      <c r="B38" s="3"/>
      <c r="C38" s="3"/>
      <c r="D38" s="3"/>
      <c r="E38" s="3"/>
      <c r="F38" s="3"/>
      <c r="G38" s="3"/>
      <c r="H38" s="3"/>
    </row>
    <row r="39" spans="1:9">
      <c r="A39" s="3"/>
      <c r="B39" s="3"/>
      <c r="C39" s="3"/>
      <c r="D39" s="3"/>
      <c r="E39" s="3"/>
      <c r="F39" s="3"/>
      <c r="G39" s="3"/>
      <c r="H39" s="3"/>
    </row>
    <row r="40" spans="1:9" ht="27.6">
      <c r="A40" s="3" t="s">
        <v>199</v>
      </c>
      <c r="B40" s="3" t="s">
        <v>200</v>
      </c>
      <c r="C40" s="3" t="s">
        <v>201</v>
      </c>
      <c r="D40" s="3" t="s">
        <v>202</v>
      </c>
      <c r="E40" s="3" t="s">
        <v>203</v>
      </c>
      <c r="F40" s="3"/>
      <c r="G40" s="3" t="s">
        <v>49</v>
      </c>
      <c r="H40" s="3" t="str">
        <f>IFERROR(INDEX(Pattern!$B:$B,MATCH(G40,Pattern!$A:$A,0)),"")</f>
        <v>Prevenzione e ruolo della scuola</v>
      </c>
      <c r="I40" t="s">
        <v>204</v>
      </c>
    </row>
    <row r="41" spans="1:9" ht="27.6">
      <c r="A41" s="3" t="s">
        <v>205</v>
      </c>
      <c r="B41" s="3" t="s">
        <v>200</v>
      </c>
      <c r="C41" s="3" t="s">
        <v>201</v>
      </c>
      <c r="D41" s="3" t="s">
        <v>202</v>
      </c>
      <c r="E41" s="3" t="s">
        <v>206</v>
      </c>
      <c r="F41" s="3"/>
      <c r="G41" s="3" t="s">
        <v>49</v>
      </c>
      <c r="H41" s="3" t="str">
        <f>IFERROR(INDEX(Pattern!$B:$B,MATCH(G41,Pattern!$A:$A,0)),"")</f>
        <v>Prevenzione e ruolo della scuola</v>
      </c>
    </row>
    <row r="42" spans="1:9" ht="27.6">
      <c r="A42" s="3" t="s">
        <v>207</v>
      </c>
      <c r="B42" s="3" t="s">
        <v>200</v>
      </c>
      <c r="C42" s="3" t="s">
        <v>201</v>
      </c>
      <c r="D42" s="3" t="s">
        <v>202</v>
      </c>
      <c r="E42" s="3" t="s">
        <v>208</v>
      </c>
      <c r="F42" s="3"/>
      <c r="G42" s="3" t="s">
        <v>49</v>
      </c>
      <c r="H42" s="3" t="str">
        <f>IFERROR(INDEX(Pattern!$B:$B,MATCH(G42,Pattern!$A:$A,0)),"")</f>
        <v>Prevenzione e ruolo della scuola</v>
      </c>
    </row>
    <row r="43" spans="1:9" ht="27.6">
      <c r="A43" s="3" t="s">
        <v>209</v>
      </c>
      <c r="B43" s="3" t="s">
        <v>200</v>
      </c>
      <c r="C43" s="3" t="s">
        <v>201</v>
      </c>
      <c r="D43" s="3" t="s">
        <v>202</v>
      </c>
      <c r="E43" s="3" t="s">
        <v>210</v>
      </c>
      <c r="F43" s="3"/>
      <c r="G43" s="3" t="s">
        <v>49</v>
      </c>
      <c r="H43" s="3" t="str">
        <f>IFERROR(INDEX(Pattern!$B:$B,MATCH(G43,Pattern!$A:$A,0)),"")</f>
        <v>Prevenzione e ruolo della scuola</v>
      </c>
      <c r="I43" t="s">
        <v>211</v>
      </c>
    </row>
    <row r="44" spans="1:9" ht="27.6">
      <c r="A44" s="3" t="s">
        <v>212</v>
      </c>
      <c r="B44" s="3" t="s">
        <v>200</v>
      </c>
      <c r="C44" s="3" t="s">
        <v>201</v>
      </c>
      <c r="D44" s="3" t="s">
        <v>202</v>
      </c>
      <c r="E44" s="3" t="s">
        <v>213</v>
      </c>
      <c r="F44" s="3" t="s">
        <v>214</v>
      </c>
      <c r="G44" s="3" t="s">
        <v>49</v>
      </c>
      <c r="H44" s="3" t="str">
        <f>IFERROR(INDEX(Pattern!$B:$B,MATCH(G44,Pattern!$A:$A,0)),"")</f>
        <v>Prevenzione e ruolo della scuola</v>
      </c>
    </row>
    <row r="45" spans="1:9" ht="27.6">
      <c r="A45" s="3" t="s">
        <v>215</v>
      </c>
      <c r="B45" s="3" t="s">
        <v>200</v>
      </c>
      <c r="C45" s="3" t="s">
        <v>201</v>
      </c>
      <c r="D45" s="3" t="s">
        <v>216</v>
      </c>
      <c r="E45" s="3" t="s">
        <v>217</v>
      </c>
      <c r="F45" s="3" t="s">
        <v>218</v>
      </c>
      <c r="G45" s="3" t="s">
        <v>42</v>
      </c>
      <c r="H45" s="3" t="str">
        <f>IFERROR(INDEX(Pattern!$B:$B,MATCH(G45,Pattern!$A:$A,0)),"")</f>
        <v>Chiedere aiuto: a chi, e perché no</v>
      </c>
    </row>
    <row r="46" spans="1:9" ht="41.45">
      <c r="A46" s="3" t="s">
        <v>219</v>
      </c>
      <c r="B46" s="3" t="s">
        <v>200</v>
      </c>
      <c r="C46" s="3" t="s">
        <v>201</v>
      </c>
      <c r="D46" s="3" t="s">
        <v>216</v>
      </c>
      <c r="E46" s="3" t="s">
        <v>220</v>
      </c>
      <c r="F46" s="3" t="s">
        <v>137</v>
      </c>
      <c r="G46" s="3" t="s">
        <v>49</v>
      </c>
      <c r="H46" s="3" t="str">
        <f>IFERROR(INDEX(Pattern!$B:$B,MATCH(G46,Pattern!$A:$A,0)),"")</f>
        <v>Prevenzione e ruolo della scuola</v>
      </c>
      <c r="I46" t="s">
        <v>221</v>
      </c>
    </row>
    <row r="47" spans="1:9" ht="27.6">
      <c r="A47" s="3" t="s">
        <v>222</v>
      </c>
      <c r="B47" s="3" t="s">
        <v>200</v>
      </c>
      <c r="C47" s="3" t="s">
        <v>201</v>
      </c>
      <c r="D47" s="3" t="s">
        <v>216</v>
      </c>
      <c r="E47" s="3" t="s">
        <v>223</v>
      </c>
      <c r="F47" s="3" t="s">
        <v>137</v>
      </c>
      <c r="G47" s="3" t="s">
        <v>42</v>
      </c>
      <c r="H47" s="3" t="str">
        <f>IFERROR(INDEX(Pattern!$B:$B,MATCH(G47,Pattern!$A:$A,0)),"")</f>
        <v>Chiedere aiuto: a chi, e perché no</v>
      </c>
      <c r="I47" t="s">
        <v>224</v>
      </c>
    </row>
    <row r="48" spans="1:9" ht="27.6">
      <c r="A48" s="3" t="s">
        <v>225</v>
      </c>
      <c r="B48" s="3" t="s">
        <v>200</v>
      </c>
      <c r="C48" s="3" t="s">
        <v>201</v>
      </c>
      <c r="D48" s="3" t="s">
        <v>226</v>
      </c>
      <c r="E48" s="3" t="s">
        <v>227</v>
      </c>
      <c r="F48" s="3" t="s">
        <v>228</v>
      </c>
      <c r="G48" s="3" t="s">
        <v>56</v>
      </c>
      <c r="H48" s="3" t="str">
        <f>IFERROR(INDEX(Pattern!$B:$B,MATCH(G48,Pattern!$A:$A,0)),"")</f>
        <v>Idea di progetto: forum anonimo e supporto</v>
      </c>
    </row>
    <row r="49" spans="1:9" ht="27.6">
      <c r="A49" s="3" t="s">
        <v>229</v>
      </c>
      <c r="B49" s="3" t="s">
        <v>200</v>
      </c>
      <c r="C49" s="3" t="s">
        <v>201</v>
      </c>
      <c r="D49" s="3" t="s">
        <v>230</v>
      </c>
      <c r="E49" s="3" t="s">
        <v>231</v>
      </c>
      <c r="F49" s="3"/>
      <c r="G49" s="3" t="s">
        <v>49</v>
      </c>
      <c r="H49" s="3" t="str">
        <f>IFERROR(INDEX(Pattern!$B:$B,MATCH(G49,Pattern!$A:$A,0)),"")</f>
        <v>Prevenzione e ruolo della scuola</v>
      </c>
      <c r="I49" t="s">
        <v>232</v>
      </c>
    </row>
    <row r="50" spans="1:9" ht="27.6">
      <c r="A50" s="3" t="s">
        <v>233</v>
      </c>
      <c r="B50" s="3" t="s">
        <v>200</v>
      </c>
      <c r="C50" s="3" t="s">
        <v>201</v>
      </c>
      <c r="D50" s="3" t="s">
        <v>234</v>
      </c>
      <c r="E50" s="3" t="s">
        <v>235</v>
      </c>
      <c r="F50" s="3" t="s">
        <v>236</v>
      </c>
      <c r="G50" s="3" t="s">
        <v>63</v>
      </c>
      <c r="H50" s="3" t="str">
        <f>IFERROR(INDEX(Pattern!$B:$B,MATCH(G50,Pattern!$A:$A,0)),"")</f>
        <v>Come comunicare con i ragazzi</v>
      </c>
      <c r="I50" t="s">
        <v>237</v>
      </c>
    </row>
    <row r="51" spans="1:9">
      <c r="A51" s="3" t="s">
        <v>238</v>
      </c>
      <c r="B51" s="3" t="s">
        <v>200</v>
      </c>
      <c r="C51" s="3" t="s">
        <v>201</v>
      </c>
      <c r="D51" s="3" t="s">
        <v>202</v>
      </c>
      <c r="E51" s="3" t="s">
        <v>239</v>
      </c>
      <c r="F51" s="3"/>
      <c r="G51" s="3" t="s">
        <v>49</v>
      </c>
      <c r="H51" s="3" t="str">
        <f>IFERROR(INDEX(Pattern!$B:$B,MATCH(G51,Pattern!$A:$A,0)),"")</f>
        <v>Prevenzione e ruolo della scuola</v>
      </c>
    </row>
    <row r="52" spans="1:9" ht="41.45">
      <c r="A52" s="3" t="s">
        <v>240</v>
      </c>
      <c r="B52" s="3" t="s">
        <v>200</v>
      </c>
      <c r="C52" s="3" t="s">
        <v>201</v>
      </c>
      <c r="D52" s="3" t="s">
        <v>241</v>
      </c>
      <c r="E52" s="3" t="s">
        <v>242</v>
      </c>
      <c r="F52" s="3"/>
      <c r="G52" s="3" t="s">
        <v>49</v>
      </c>
      <c r="H52" s="3" t="str">
        <f>IFERROR(INDEX(Pattern!$B:$B,MATCH(G52,Pattern!$A:$A,0)),"")</f>
        <v>Prevenzione e ruolo della scuola</v>
      </c>
      <c r="I52" t="s">
        <v>243</v>
      </c>
    </row>
    <row r="53" spans="1:9" ht="27.6">
      <c r="A53" s="3" t="s">
        <v>244</v>
      </c>
      <c r="B53" s="3" t="s">
        <v>200</v>
      </c>
      <c r="C53" s="3" t="s">
        <v>201</v>
      </c>
      <c r="D53" s="3" t="s">
        <v>245</v>
      </c>
      <c r="E53" s="3" t="s">
        <v>246</v>
      </c>
      <c r="F53" s="3" t="s">
        <v>247</v>
      </c>
      <c r="G53" s="3" t="s">
        <v>42</v>
      </c>
      <c r="H53" s="3" t="str">
        <f>IFERROR(INDEX(Pattern!$B:$B,MATCH(G53,Pattern!$A:$A,0)),"")</f>
        <v>Chiedere aiuto: a chi, e perché no</v>
      </c>
    </row>
    <row r="54" spans="1:9" ht="41.45">
      <c r="A54" s="3" t="s">
        <v>248</v>
      </c>
      <c r="B54" s="3" t="s">
        <v>200</v>
      </c>
      <c r="C54" s="3" t="s">
        <v>201</v>
      </c>
      <c r="D54" s="3" t="s">
        <v>245</v>
      </c>
      <c r="E54" s="3" t="s">
        <v>249</v>
      </c>
      <c r="F54" s="3" t="s">
        <v>250</v>
      </c>
      <c r="G54" s="3" t="s">
        <v>42</v>
      </c>
      <c r="H54" s="3" t="str">
        <f>IFERROR(INDEX(Pattern!$B:$B,MATCH(G54,Pattern!$A:$A,0)),"")</f>
        <v>Chiedere aiuto: a chi, e perché no</v>
      </c>
    </row>
    <row r="55" spans="1:9" ht="27.6">
      <c r="A55" s="3" t="s">
        <v>251</v>
      </c>
      <c r="B55" s="3" t="s">
        <v>200</v>
      </c>
      <c r="C55" s="3" t="s">
        <v>201</v>
      </c>
      <c r="D55" s="3" t="s">
        <v>245</v>
      </c>
      <c r="E55" s="3" t="s">
        <v>252</v>
      </c>
      <c r="F55" s="3" t="s">
        <v>253</v>
      </c>
      <c r="G55" s="3" t="s">
        <v>42</v>
      </c>
      <c r="H55" s="3" t="str">
        <f>IFERROR(INDEX(Pattern!$B:$B,MATCH(G55,Pattern!$A:$A,0)),"")</f>
        <v>Chiedere aiuto: a chi, e perché no</v>
      </c>
      <c r="I55" t="s">
        <v>254</v>
      </c>
    </row>
    <row r="56" spans="1:9" ht="27.6">
      <c r="A56" s="3" t="s">
        <v>255</v>
      </c>
      <c r="B56" s="3" t="s">
        <v>200</v>
      </c>
      <c r="C56" s="3" t="s">
        <v>201</v>
      </c>
      <c r="D56" s="3" t="s">
        <v>256</v>
      </c>
      <c r="E56" s="3" t="s">
        <v>257</v>
      </c>
      <c r="F56" s="3" t="s">
        <v>258</v>
      </c>
      <c r="G56" s="3" t="s">
        <v>42</v>
      </c>
      <c r="H56" s="3" t="str">
        <f>IFERROR(INDEX(Pattern!$B:$B,MATCH(G56,Pattern!$A:$A,0)),"")</f>
        <v>Chiedere aiuto: a chi, e perché no</v>
      </c>
    </row>
    <row r="57" spans="1:9" ht="27.6">
      <c r="A57" s="3" t="s">
        <v>259</v>
      </c>
      <c r="B57" s="3" t="s">
        <v>200</v>
      </c>
      <c r="C57" s="3" t="s">
        <v>201</v>
      </c>
      <c r="D57" s="3" t="s">
        <v>234</v>
      </c>
      <c r="E57" s="3" t="s">
        <v>260</v>
      </c>
      <c r="F57" s="3"/>
      <c r="G57" s="3" t="s">
        <v>63</v>
      </c>
      <c r="H57" s="3" t="str">
        <f>IFERROR(INDEX(Pattern!$B:$B,MATCH(G57,Pattern!$A:$A,0)),"")</f>
        <v>Come comunicare con i ragazzi</v>
      </c>
      <c r="I57" t="s">
        <v>261</v>
      </c>
    </row>
    <row r="58" spans="1:9" ht="27.6">
      <c r="A58" s="3" t="s">
        <v>262</v>
      </c>
      <c r="B58" s="3" t="s">
        <v>200</v>
      </c>
      <c r="C58" s="3" t="s">
        <v>201</v>
      </c>
      <c r="D58" s="3" t="s">
        <v>226</v>
      </c>
      <c r="E58" s="3" t="s">
        <v>263</v>
      </c>
      <c r="F58" s="3" t="s">
        <v>264</v>
      </c>
      <c r="G58" s="3" t="s">
        <v>56</v>
      </c>
      <c r="H58" s="3" t="str">
        <f>IFERROR(INDEX(Pattern!$B:$B,MATCH(G58,Pattern!$A:$A,0)),"")</f>
        <v>Idea di progetto: forum anonimo e supporto</v>
      </c>
    </row>
    <row r="59" spans="1:9" ht="41.45">
      <c r="A59" s="3" t="s">
        <v>265</v>
      </c>
      <c r="B59" s="3" t="s">
        <v>200</v>
      </c>
      <c r="C59" s="3" t="s">
        <v>201</v>
      </c>
      <c r="D59" s="3" t="s">
        <v>226</v>
      </c>
      <c r="E59" s="3" t="s">
        <v>266</v>
      </c>
      <c r="F59" s="3" t="s">
        <v>267</v>
      </c>
      <c r="G59" s="3" t="s">
        <v>56</v>
      </c>
      <c r="H59" s="3" t="str">
        <f>IFERROR(INDEX(Pattern!$B:$B,MATCH(G59,Pattern!$A:$A,0)),"")</f>
        <v>Idea di progetto: forum anonimo e supporto</v>
      </c>
      <c r="I59" t="s">
        <v>268</v>
      </c>
    </row>
    <row r="60" spans="1:9" ht="27.6">
      <c r="A60" s="3" t="s">
        <v>269</v>
      </c>
      <c r="B60" s="3" t="s">
        <v>200</v>
      </c>
      <c r="C60" s="3" t="s">
        <v>201</v>
      </c>
      <c r="D60" s="3" t="s">
        <v>226</v>
      </c>
      <c r="E60" s="3" t="s">
        <v>270</v>
      </c>
      <c r="F60" s="3" t="s">
        <v>271</v>
      </c>
      <c r="G60" s="3" t="s">
        <v>56</v>
      </c>
      <c r="H60" s="3" t="str">
        <f>IFERROR(INDEX(Pattern!$B:$B,MATCH(G60,Pattern!$A:$A,0)),"")</f>
        <v>Idea di progetto: forum anonimo e supporto</v>
      </c>
      <c r="I60" t="s">
        <v>272</v>
      </c>
    </row>
    <row r="61" spans="1:9" ht="27.6">
      <c r="A61" s="3" t="s">
        <v>273</v>
      </c>
      <c r="B61" s="3" t="s">
        <v>200</v>
      </c>
      <c r="C61" s="3" t="s">
        <v>201</v>
      </c>
      <c r="D61" s="3" t="s">
        <v>274</v>
      </c>
      <c r="E61" s="3" t="s">
        <v>275</v>
      </c>
      <c r="F61" s="3"/>
      <c r="G61" s="3" t="s">
        <v>56</v>
      </c>
      <c r="H61" s="3" t="str">
        <f>IFERROR(INDEX(Pattern!$B:$B,MATCH(G61,Pattern!$A:$A,0)),"")</f>
        <v>Idea di progetto: forum anonimo e supporto</v>
      </c>
      <c r="I61" t="s">
        <v>276</v>
      </c>
    </row>
    <row r="62" spans="1:9" ht="27.6">
      <c r="A62" s="3" t="s">
        <v>277</v>
      </c>
      <c r="B62" s="3" t="s">
        <v>200</v>
      </c>
      <c r="C62" s="3" t="s">
        <v>201</v>
      </c>
      <c r="D62" s="3" t="s">
        <v>278</v>
      </c>
      <c r="E62" s="3" t="s">
        <v>279</v>
      </c>
      <c r="F62" s="3" t="s">
        <v>280</v>
      </c>
      <c r="G62" s="3" t="s">
        <v>56</v>
      </c>
      <c r="H62" s="3" t="str">
        <f>IFERROR(INDEX(Pattern!$B:$B,MATCH(G62,Pattern!$A:$A,0)),"")</f>
        <v>Idea di progetto: forum anonimo e supporto</v>
      </c>
    </row>
    <row r="63" spans="1:9">
      <c r="A63" s="3"/>
      <c r="B63" s="3"/>
      <c r="C63" s="3"/>
      <c r="D63" s="3"/>
      <c r="E63" s="3"/>
      <c r="F63" s="3"/>
      <c r="G63" s="3"/>
      <c r="H63" s="3"/>
    </row>
    <row r="64" spans="1:9">
      <c r="A64" s="3"/>
      <c r="B64" s="3"/>
      <c r="C64" s="3"/>
      <c r="D64" s="3"/>
      <c r="E64" s="3"/>
      <c r="F64" s="3"/>
      <c r="G64" s="3"/>
      <c r="H64" s="3"/>
    </row>
  </sheetData>
  <autoFilter ref="A4:H64" xr:uid="{00000000-0009-0000-0000-000001000000}"/>
  <pageMargins left="0.75" right="0.75" top="1" bottom="1" header="0.51181102362204689" footer="0.51181102362204689"/>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topLeftCell="A6" workbookViewId="0"/>
  </sheetViews>
  <sheetFormatPr defaultColWidth="8.7109375" defaultRowHeight="14.45"/>
  <cols>
    <col min="1" max="1" width="65.5703125" customWidth="1"/>
    <col min="2" max="7" width="22" customWidth="1"/>
  </cols>
  <sheetData>
    <row r="1" spans="1:4" ht="16.899999999999999">
      <c r="A1" s="4" t="s">
        <v>281</v>
      </c>
    </row>
    <row r="3" spans="1:4" ht="27.6">
      <c r="A3" s="6" t="s">
        <v>282</v>
      </c>
      <c r="B3" s="6"/>
      <c r="C3" s="6"/>
    </row>
    <row r="4" spans="1:4">
      <c r="A4" s="2"/>
      <c r="B4" s="2" t="s">
        <v>283</v>
      </c>
      <c r="C4" s="2" t="s">
        <v>284</v>
      </c>
      <c r="D4" s="2" t="s">
        <v>285</v>
      </c>
    </row>
    <row r="5" spans="1:4">
      <c r="A5" s="3" t="s">
        <v>286</v>
      </c>
      <c r="B5" s="3">
        <v>7</v>
      </c>
      <c r="C5" s="3">
        <v>14</v>
      </c>
      <c r="D5" s="3">
        <f t="shared" ref="D5:D6" si="0">SUM(B5:C5)</f>
        <v>21</v>
      </c>
    </row>
    <row r="6" spans="1:4">
      <c r="A6" s="3" t="s">
        <v>287</v>
      </c>
      <c r="B6" s="3">
        <v>42</v>
      </c>
      <c r="C6" s="3">
        <v>35</v>
      </c>
      <c r="D6" s="3">
        <f t="shared" si="0"/>
        <v>77</v>
      </c>
    </row>
    <row r="8" spans="1:4">
      <c r="A8" s="6" t="s">
        <v>288</v>
      </c>
      <c r="B8" s="6"/>
      <c r="C8" s="6"/>
    </row>
    <row r="9" spans="1:4">
      <c r="A9" s="2"/>
      <c r="B9" s="2" t="s">
        <v>289</v>
      </c>
      <c r="C9" s="2" t="s">
        <v>290</v>
      </c>
      <c r="D9" s="2" t="s">
        <v>285</v>
      </c>
    </row>
    <row r="10" spans="1:4">
      <c r="A10" s="3" t="s">
        <v>286</v>
      </c>
      <c r="B10" s="3">
        <v>18</v>
      </c>
      <c r="C10" s="3">
        <v>3</v>
      </c>
      <c r="D10" s="3">
        <f t="shared" ref="D10:D17" si="1">SUM(B10:C10)</f>
        <v>21</v>
      </c>
    </row>
    <row r="11" spans="1:4">
      <c r="A11" s="3" t="s">
        <v>287</v>
      </c>
      <c r="B11" s="3">
        <v>41</v>
      </c>
      <c r="C11" s="3">
        <v>35</v>
      </c>
      <c r="D11" s="3">
        <f t="shared" si="1"/>
        <v>76</v>
      </c>
    </row>
    <row r="13" spans="1:4">
      <c r="A13" s="6" t="s">
        <v>291</v>
      </c>
      <c r="B13" s="6"/>
      <c r="C13" s="6"/>
    </row>
    <row r="14" spans="1:4">
      <c r="A14" s="2"/>
      <c r="B14" s="2" t="s">
        <v>286</v>
      </c>
      <c r="C14" s="2" t="s">
        <v>287</v>
      </c>
      <c r="D14" s="2" t="s">
        <v>285</v>
      </c>
    </row>
    <row r="15" spans="1:4">
      <c r="A15" s="3" t="s">
        <v>292</v>
      </c>
      <c r="B15" s="3">
        <v>5</v>
      </c>
      <c r="C15" s="3">
        <v>13</v>
      </c>
      <c r="D15" s="3">
        <f t="shared" si="1"/>
        <v>18</v>
      </c>
    </row>
    <row r="16" spans="1:4">
      <c r="A16" s="3" t="s">
        <v>293</v>
      </c>
      <c r="B16" s="3">
        <v>7</v>
      </c>
      <c r="C16" s="3">
        <v>14</v>
      </c>
      <c r="D16" s="3">
        <f t="shared" si="1"/>
        <v>21</v>
      </c>
    </row>
    <row r="17" spans="1:7">
      <c r="A17" s="3" t="s">
        <v>294</v>
      </c>
      <c r="B17" s="3">
        <v>9</v>
      </c>
      <c r="C17" s="3">
        <v>50</v>
      </c>
      <c r="D17" s="3">
        <f t="shared" si="1"/>
        <v>59</v>
      </c>
    </row>
    <row r="19" spans="1:7">
      <c r="A19" s="6" t="s">
        <v>295</v>
      </c>
      <c r="B19" s="6"/>
      <c r="C19" s="6"/>
      <c r="D19" s="6"/>
      <c r="E19" s="6"/>
      <c r="F19" s="6"/>
    </row>
    <row r="20" spans="1:7">
      <c r="A20" s="5" t="s">
        <v>296</v>
      </c>
    </row>
    <row r="21" spans="1:7">
      <c r="A21" s="2"/>
      <c r="B21" s="2" t="s">
        <v>297</v>
      </c>
      <c r="C21" s="2" t="s">
        <v>298</v>
      </c>
      <c r="D21" s="2" t="s">
        <v>299</v>
      </c>
      <c r="E21" s="2" t="s">
        <v>300</v>
      </c>
      <c r="F21" s="2" t="s">
        <v>301</v>
      </c>
      <c r="G21" s="2" t="s">
        <v>285</v>
      </c>
    </row>
    <row r="22" spans="1:7">
      <c r="A22" s="3" t="s">
        <v>302</v>
      </c>
      <c r="B22" s="3">
        <v>0</v>
      </c>
      <c r="C22" s="3">
        <v>9</v>
      </c>
      <c r="D22" s="3">
        <v>0</v>
      </c>
      <c r="E22" s="3">
        <v>1</v>
      </c>
      <c r="F22" s="3">
        <v>0</v>
      </c>
      <c r="G22" s="3">
        <f t="shared" ref="G22:G25" si="2">SUM(B22:F22)</f>
        <v>10</v>
      </c>
    </row>
    <row r="23" spans="1:7">
      <c r="A23" s="3" t="s">
        <v>303</v>
      </c>
      <c r="B23" s="3">
        <v>10</v>
      </c>
      <c r="C23" s="3">
        <v>41</v>
      </c>
      <c r="D23" s="3">
        <v>6</v>
      </c>
      <c r="E23" s="3">
        <v>9</v>
      </c>
      <c r="F23" s="3">
        <v>15</v>
      </c>
      <c r="G23" s="3">
        <f t="shared" si="2"/>
        <v>81</v>
      </c>
    </row>
    <row r="24" spans="1:7">
      <c r="A24" s="3" t="s">
        <v>304</v>
      </c>
      <c r="B24" s="3">
        <v>1</v>
      </c>
      <c r="C24" s="3">
        <v>1</v>
      </c>
      <c r="D24" s="3">
        <v>1</v>
      </c>
      <c r="E24" s="3">
        <v>0</v>
      </c>
      <c r="F24" s="3">
        <v>1</v>
      </c>
      <c r="G24" s="3">
        <f t="shared" si="2"/>
        <v>4</v>
      </c>
    </row>
    <row r="25" spans="1:7">
      <c r="A25" s="3" t="s">
        <v>305</v>
      </c>
      <c r="B25" s="3">
        <v>0</v>
      </c>
      <c r="C25" s="3">
        <v>0</v>
      </c>
      <c r="D25" s="3">
        <v>0</v>
      </c>
      <c r="E25" s="3">
        <v>0</v>
      </c>
      <c r="F25" s="3">
        <v>1</v>
      </c>
      <c r="G25" s="3">
        <f t="shared" si="2"/>
        <v>1</v>
      </c>
    </row>
    <row r="27" spans="1:7">
      <c r="A27" s="6" t="s">
        <v>306</v>
      </c>
      <c r="B27" s="6"/>
      <c r="C27" s="6"/>
      <c r="D27" s="6"/>
      <c r="E27" s="6"/>
    </row>
    <row r="28" spans="1:7" ht="55.15">
      <c r="A28" s="2"/>
      <c r="B28" s="2" t="s">
        <v>307</v>
      </c>
      <c r="C28" s="2" t="s">
        <v>308</v>
      </c>
      <c r="D28" s="2" t="s">
        <v>309</v>
      </c>
      <c r="E28" s="2" t="s">
        <v>310</v>
      </c>
      <c r="F28" s="2" t="s">
        <v>285</v>
      </c>
    </row>
    <row r="29" spans="1:7">
      <c r="A29" s="3" t="s">
        <v>311</v>
      </c>
      <c r="B29" s="3">
        <v>1</v>
      </c>
      <c r="C29" s="3">
        <v>0</v>
      </c>
      <c r="D29" s="3">
        <v>7</v>
      </c>
      <c r="E29" s="3">
        <v>3</v>
      </c>
      <c r="F29" s="3">
        <f t="shared" ref="F29:F32" si="3">SUM(B29:E29)</f>
        <v>11</v>
      </c>
    </row>
    <row r="30" spans="1:7">
      <c r="A30" s="3" t="s">
        <v>312</v>
      </c>
      <c r="B30" s="3">
        <v>5</v>
      </c>
      <c r="C30" s="3">
        <v>1</v>
      </c>
      <c r="D30" s="3">
        <v>19</v>
      </c>
      <c r="E30" s="3">
        <v>2</v>
      </c>
      <c r="F30" s="3">
        <f t="shared" si="3"/>
        <v>27</v>
      </c>
    </row>
    <row r="31" spans="1:7">
      <c r="A31" s="3" t="s">
        <v>313</v>
      </c>
      <c r="B31" s="3">
        <v>15</v>
      </c>
      <c r="C31" s="3">
        <v>1</v>
      </c>
      <c r="D31" s="3">
        <v>12</v>
      </c>
      <c r="E31" s="3">
        <v>4</v>
      </c>
      <c r="F31" s="3">
        <f t="shared" si="3"/>
        <v>32</v>
      </c>
    </row>
    <row r="32" spans="1:7">
      <c r="A32" s="3" t="s">
        <v>314</v>
      </c>
      <c r="B32" s="3">
        <v>14</v>
      </c>
      <c r="C32" s="3">
        <v>2</v>
      </c>
      <c r="D32" s="3">
        <v>10</v>
      </c>
      <c r="E32" s="3">
        <v>2</v>
      </c>
      <c r="F32" s="3">
        <f t="shared" si="3"/>
        <v>28</v>
      </c>
    </row>
  </sheetData>
  <pageMargins left="0.75" right="0.75" top="1" bottom="1"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2</cp:revision>
  <dcterms:created xsi:type="dcterms:W3CDTF">2026-10-09T13:03:43Z</dcterms:created>
  <dcterms:modified xsi:type="dcterms:W3CDTF">2026-10-11T16:42:46Z</dcterms:modified>
  <cp:category/>
  <cp:contentStatus/>
</cp:coreProperties>
</file>