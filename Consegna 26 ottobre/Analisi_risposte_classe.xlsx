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Sintesi" sheetId="2" state="visible" r:id="rId4"/>
    <sheet name="F0 Autovalutazione" sheetId="3" state="visible" r:id="rId5"/>
    <sheet name="F1 Foto (dati)" sheetId="4" state="visible" r:id="rId6"/>
    <sheet name="F1 Foto (matrice)" sheetId="5" state="visible" r:id="rId7"/>
    <sheet name="F1bis Coppie" sheetId="6" state="visible" r:id="rId8"/>
    <sheet name="Indizi usati" sheetId="7" state="visible" r:id="rId9"/>
    <sheet name="F2 Chat" sheetId="8" state="visible" r:id="rId10"/>
    <sheet name="Tavola rotonda" sheetId="9" state="visible" r:id="rId11"/>
    <sheet name="Appunti osservazione" sheetId="10" state="visible" r:id="rId12"/>
    <sheet name="Analisi tematica" sheetId="11" state="visible" r:id="rId13"/>
  </sheets>
  <definedNames>
    <definedName function="false" hidden="true" localSheetId="9" name="_xlnm._FilterDatabase" vbProcedure="false">'Appunti osservazione'!$A$4:$E$32</definedName>
    <definedName function="false" hidden="true" localSheetId="3" name="_xlnm._FilterDatabase" vbProcedure="false">'F1 Foto (dati)'!$A$4:$J$84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Tontony a Chat 3 segna sia Si sia Non sappiamo</t>
        </r>
      </text>
    </comment>
  </commentList>
</comments>
</file>

<file path=xl/sharedStrings.xml><?xml version="1.0" encoding="utf-8"?>
<sst xmlns="http://schemas.openxmlformats.org/spreadsheetml/2006/main" count="1524" uniqueCount="626">
  <si>
    <t xml:space="preserve">Needfinding in classe - analisi delle risposte</t>
  </si>
  <si>
    <t xml:space="preserve">Progetto HCI "Chi c'è dall'altra parte?" - attività in una classe di liceo (focus group a squadre)</t>
  </si>
  <si>
    <t xml:space="preserve">Fonti analizzate</t>
  </si>
  <si>
    <t xml:space="preserve">Fonte</t>
  </si>
  <si>
    <t xml:space="preserve">Contenuto</t>
  </si>
  <si>
    <t xml:space="preserve">Schede di lavoro (5 squadre)</t>
  </si>
  <si>
    <t xml:space="preserve">Tontony (5), Divo (5), Biscotto (4), Team Pasqua (5), Dream Team (4): 23 studenti in totale. Fasi 0, 1, 1bis, 2 e risposte alla tavola rotonda (TR1-TR4).</t>
  </si>
  <si>
    <t xml:space="preserve">Appunti di osservazione del team</t>
  </si>
  <si>
    <t xml:space="preserve">Note prese seguendo i gruppi durante la Fase 2 (chat). Codici OSS-01 ... OSS-28.</t>
  </si>
  <si>
    <t xml:space="preserve">Presentazione in classe</t>
  </si>
  <si>
    <t xml:space="preserve">Struttura dell'attività: Sfida reale vs IA, Tavola rotonda, Co-design. Da qui le soluzioni delle coppie della Fase 1bis.</t>
  </si>
  <si>
    <t xml:space="preserve">Soluzioni del quiz foto</t>
  </si>
  <si>
    <t xml:space="preserve">Fornite dal team: L0 V,F,F - L1 F,V,V - L2 V,V,F - L3 F,V,F - L4 tutte generate con l'IA.</t>
  </si>
  <si>
    <t xml:space="preserve">Codici usati in tutti i documenti (tracciabilità)</t>
  </si>
  <si>
    <t xml:space="preserve">Codice</t>
  </si>
  <si>
    <t xml:space="preserve">Significato</t>
  </si>
  <si>
    <t xml:space="preserve">TON, DIV, BIS, PAS, DRE</t>
  </si>
  <si>
    <t xml:space="preserve">Squadre: Tontony, Divo, Biscotto, Team Pasqua, Dream Team</t>
  </si>
  <si>
    <t xml:space="preserve">F0</t>
  </si>
  <si>
    <t xml:space="preserve">Fase 0 - autovalutazione individuale (voto 1-10)</t>
  </si>
  <si>
    <t xml:space="preserve">F1-Lx-Fy</t>
  </si>
  <si>
    <t xml:space="preserve">Fase 1 - quiz foto, livello x, foto y (es. F1-L4-F3)</t>
  </si>
  <si>
    <t xml:space="preserve">F1bis-A/B/C</t>
  </si>
  <si>
    <t xml:space="preserve">Fase 1bis - coppie di foto (quale è stata generata dall'altra)</t>
  </si>
  <si>
    <t xml:space="preserve">CH-[squadra]-Cx</t>
  </si>
  <si>
    <t xml:space="preserve">Note scritte dalla squadra sulla chat x (es. CH-DRE-C4)</t>
  </si>
  <si>
    <t xml:space="preserve">OSS-nn</t>
  </si>
  <si>
    <t xml:space="preserve">TR1...TR4-[squadra]</t>
  </si>
  <si>
    <t xml:space="preserve">Risposta della squadra alla domanda n della tavola rotonda (es. TR4-BIS)</t>
  </si>
  <si>
    <t xml:space="preserve">B1...B8</t>
  </si>
  <si>
    <t xml:space="preserve">Bisogni consolidati (vedi foglio 'Analisi tematica' e documento dei bisogni)</t>
  </si>
  <si>
    <t xml:space="preserve">Convenzioni e limiti della trascrizione</t>
  </si>
  <si>
    <t xml:space="preserve">•</t>
  </si>
  <si>
    <t xml:space="preserve">Le schede sono scritte a mano: dove la lettura è incerta il testo è segnato con [lettura incerta].</t>
  </si>
  <si>
    <t xml:space="preserve">Risposte con caselle segnate in modo contraddittorio sono marcate '?' ed escluse dai punteggi (colonna 'Esito' = n.v.).</t>
  </si>
  <si>
    <t xml:space="preserve">Tontony ha compilato i livelli 3-4 sia in tabella sia su un foglio aggiunto: dove i due non coincidono vale il dato marcato '?'.</t>
  </si>
  <si>
    <t xml:space="preserve">Biscotto non ha cerchiato la difficoltà; alcune squadre non hanno compilato la Fase 1bis-C e la Chat 6.</t>
  </si>
  <si>
    <t xml:space="preserve">Le domande della Chat 2 e della Chat 6 non sono state discusse negli appunti: i dati su quelle chat sono solo quelli delle schede.</t>
  </si>
  <si>
    <t xml:space="preserve">I numeri sono piccoli (5 squadre, 23 studenti): le percentuali servono a leggere tendenze, non hanno valore statistico.</t>
  </si>
  <si>
    <t xml:space="preserve">Fogli del file</t>
  </si>
  <si>
    <t xml:space="preserve">Foglio</t>
  </si>
  <si>
    <t xml:space="preserve">Sintesi</t>
  </si>
  <si>
    <t xml:space="preserve">Analisi complessiva: numeri chiave, grafici, punti comuni, divergenze, sorprese</t>
  </si>
  <si>
    <t xml:space="preserve">F0 Autovalutazione</t>
  </si>
  <si>
    <t xml:space="preserve">Voti individuali e medie per squadra</t>
  </si>
  <si>
    <t xml:space="preserve">F1 Foto (dati)</t>
  </si>
  <si>
    <t xml:space="preserve">Ogni risposta del quiz foto con esito calcolato, difficoltà e indizio dichiarato</t>
  </si>
  <si>
    <t xml:space="preserve">F1 Foto (matrice)</t>
  </si>
  <si>
    <t xml:space="preserve">Risposte per foto e squadra, con quante squadre hanno indovinato</t>
  </si>
  <si>
    <t xml:space="preserve">F1bis Coppie</t>
  </si>
  <si>
    <t xml:space="preserve">Coppie di foto: quale è generata e com'è la foto rimasta</t>
  </si>
  <si>
    <t xml:space="preserve">Indizi usati</t>
  </si>
  <si>
    <t xml:space="preserve">Su cosa si basano i ragazzi per dire 'è IA' e quanto quell'indizio li porta alla risposta giusta</t>
  </si>
  <si>
    <t xml:space="preserve">F2 Chat</t>
  </si>
  <si>
    <t xml:space="preserve">Giudizio sulle chat, note dei gruppi e osservazioni del team</t>
  </si>
  <si>
    <t xml:space="preserve">Tavola rotonda</t>
  </si>
  <si>
    <t xml:space="preserve">Risposte TR1-TR4 per squadra con punti comuni e divergenze</t>
  </si>
  <si>
    <t xml:space="preserve">Appunti osservazione</t>
  </si>
  <si>
    <t xml:space="preserve">Appunti del team codificati per tema</t>
  </si>
  <si>
    <t xml:space="preserve">Analisi tematica</t>
  </si>
  <si>
    <t xml:space="preserve">Temi emersi, evidenze, convergenze/divergenze e bisogno collegato</t>
  </si>
  <si>
    <t xml:space="preserve">Sintesi complessiva</t>
  </si>
  <si>
    <t xml:space="preserve">I numeri sono calcolati dagli altri fogli; i testi sono l'analisi del team</t>
  </si>
  <si>
    <t xml:space="preserve">Numeri chiave</t>
  </si>
  <si>
    <t xml:space="preserve">Indicatore</t>
  </si>
  <si>
    <t xml:space="preserve">Valore</t>
  </si>
  <si>
    <t xml:space="preserve">Studenti coinvolti</t>
  </si>
  <si>
    <t xml:space="preserve">Autovalutazione media - riconoscere un falso (1-10)</t>
  </si>
  <si>
    <t xml:space="preserve">Autovalutazione media - riconoscere adescamento (1-10)</t>
  </si>
  <si>
    <t xml:space="preserve">Accuratezza quiz foto, tutti i livelli</t>
  </si>
  <si>
    <t xml:space="preserve">Accuratezza livelli 0-1</t>
  </si>
  <si>
    <t xml:space="preserve">Accuratezza livello 4</t>
  </si>
  <si>
    <t xml:space="preserve">Foto IA non riconosciute (falsi negativi)</t>
  </si>
  <si>
    <t xml:space="preserve">Foto reali giudicate IA (falsi positivi)</t>
  </si>
  <si>
    <t xml:space="preserve">Chat giudicate sospette all'unanimità (su 5)</t>
  </si>
  <si>
    <t xml:space="preserve">Autovalutazione e risultato reale per squadra</t>
  </si>
  <si>
    <t xml:space="preserve">Squadra</t>
  </si>
  <si>
    <t xml:space="preserve">Autovalutazione foto (media /10)</t>
  </si>
  <si>
    <t xml:space="preserve">Autovalutazione in %</t>
  </si>
  <si>
    <t xml:space="preserve">Accuratezza quiz (tutti i livelli)</t>
  </si>
  <si>
    <t xml:space="preserve">Scarto L4 - autovalutazione</t>
  </si>
  <si>
    <t xml:space="preserve">Tontony</t>
  </si>
  <si>
    <t xml:space="preserve">Divo</t>
  </si>
  <si>
    <t xml:space="preserve">Biscotto</t>
  </si>
  <si>
    <t xml:space="preserve">Team Pasqua</t>
  </si>
  <si>
    <t xml:space="preserve">Dream Team</t>
  </si>
  <si>
    <t xml:space="preserve">Lettura</t>
  </si>
  <si>
    <t xml:space="preserve">Sul totale le squadre fanno meglio di quanto dichiarano, perché molte foto erano facili. Ma la fiducia dichiarata (6-7/10) non cambia con la difficoltà: al livello 4, cioè con contenuti realistici come quelli che un adescatore userebbe, quattro squadre su cinque scendono sotto la propria autovalutazione. La squadra più prudente (Team Pasqua) è l'unica che al livello 4 supera il proprio voto; Biscotto, tra le più sicure sulle chat, è quella che sbaglia di più.</t>
  </si>
  <si>
    <t xml:space="preserve">Accuratezza per livello</t>
  </si>
  <si>
    <t xml:space="preserve">Livello</t>
  </si>
  <si>
    <t xml:space="preserve">Accuratezza</t>
  </si>
  <si>
    <t xml:space="preserve">Livello 0</t>
  </si>
  <si>
    <t xml:space="preserve">estremamente facile</t>
  </si>
  <si>
    <t xml:space="preserve">Livello 1</t>
  </si>
  <si>
    <t xml:space="preserve">facile</t>
  </si>
  <si>
    <t xml:space="preserve">Livello 2</t>
  </si>
  <si>
    <t xml:space="preserve">medio</t>
  </si>
  <si>
    <t xml:space="preserve">Livello 3</t>
  </si>
  <si>
    <t xml:space="preserve">difficile</t>
  </si>
  <si>
    <t xml:space="preserve">Livello 4</t>
  </si>
  <si>
    <t xml:space="preserve">molto difficile</t>
  </si>
  <si>
    <t xml:space="preserve">Analisi complessiva</t>
  </si>
  <si>
    <t xml:space="preserve">Punti comuni</t>
  </si>
  <si>
    <t xml:space="preserve">• Tutte le squadre riconoscono senza fatica le foto facili e le richieste esplicite in chat (foto, dati personali, cambio di app, 'vieni da sola').
• Si sentono 'abbastanza' capaci (voti tra 6 e 8) e basano il giudizio su dettagli visivi ('troppo perfetto', sfondo) e su segnali sociali (amici in comune, storie, averlo visto a scuola).
• Nessuno manderebbe la foto richiesta in Chat 5; la reazione più citata è bloccare o smettere di rispondere.
• Tutte le squadre descrivono una difficoltà a parlarne con gli adulti (paura del giudizio, delle conseguenze, di perdere libertà).
• L'attività è piaciuta perché attiva: chiedono strumenti interattivi e non 'la solita lezione'.</t>
  </si>
  <si>
    <t xml:space="preserve">Divergenze</t>
  </si>
  <si>
    <t xml:space="preserve">• Chat 1, 2 e 3 dividono le squadre: le stesse conversazioni sono 'normali' per alcuni e sospette per altri, segno che i segnali iniziali non sono condivisi.
• Deepfake nel gruppo (Chat 5.1): da 'non si fa mai' a 'è solo uno scherzo', anche quando la vittima chiede di togliere la foto.
• A chi chiedere aiuto: genitori (PAS, OSS-22), prima sorella/amica e poi genitori (OSS-20), polizia postale saltando i genitori (OSS-18).
• Forum: leggere sì, scrivere poco; i commenti piacciono solo se moderati, una squadra non condividerebbe nulla di personale.
• Tutor: utilissimo per Divo, inutile per Team Pasqua (meglio qualcuno che ti conosce), ponte verso i genitori per Dream Team.</t>
  </si>
  <si>
    <t xml:space="preserve">Sorprese (momenti da approfondire)</t>
  </si>
  <si>
    <t xml:space="preserve">• Una foto del livello 4 non è stata riconosciuta da nessuna squadra e la coppia A (doppia manipolazione) ha ingannato due squadre: al livello 4 quattro squadre su cinque restano sotto la propria autovalutazione.
• Una foto viene creduta reale 'perché la faccia sembra conosciuta': la familiarità abbassa le difese.
• 'Se lo conosco da un po' ci può stare' e nessuno chiede prove dell'identità: la fiducia costruita nel tempo è il punto debole, ed è proprio la strategia dell'adescatore.
• Le foto reali con filtri vengono scambiate per IA: il sospetto generico non coincide con la capacità di riconoscere.</t>
  </si>
  <si>
    <t xml:space="preserve">Implicazioni per i bisogni</t>
  </si>
  <si>
    <t xml:space="preserve">• I cinque bisogni già individuati sono confermati dai dati (B1-B5), con alcune precisazioni: B1 descrive soprattutto il 'come' (modalità), B2 deve garantire anonimato e moderazione, B3 deve includere i segnali graduali.
• Emergono tre bisogni nuovi: B6 verificare chi c'è dall'altra parte, B7 poter coinvolgere un adulto senza paura, B8 capire quando un contenuto manipolato smette di essere uno scherzo.
• Candidati per i 3-4 bisogni da selezionare: B4, B6, B7, B8 (evidenze più forti e meno coperti da strumenti esistenti), con B1 e B2 come requisiti trasversali su come il servizio coinvolge i ragazzi.</t>
  </si>
  <si>
    <t xml:space="preserve">Fase 0 - Quanto vi sentite capaci? (voto individuale 1-10)</t>
  </si>
  <si>
    <t xml:space="preserve">Componente</t>
  </si>
  <si>
    <t xml:space="preserve">Riconoscere foto/contenuto falso</t>
  </si>
  <si>
    <t xml:space="preserve">Riconoscere adescamento in chat</t>
  </si>
  <si>
    <t xml:space="preserve">Nota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</si>
  <si>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</si>
  <si>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</si>
  <si>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</si>
  <si>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</si>
  <si>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</si>
  <si>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Componente C: cerchiati sia 3 sia 8 nella colonna chat (valore escluso dalla media)</t>
  </si>
  <si>
    <t xml:space="preserve">N. studenti</t>
  </si>
  <si>
    <t xml:space="preserve">Media foto</t>
  </si>
  <si>
    <t xml:space="preserve">Media chat</t>
  </si>
  <si>
    <t xml:space="preserve">Differenza chat - foto</t>
  </si>
  <si>
    <t xml:space="preserve">Totale classe</t>
  </si>
  <si>
    <t xml:space="preserve">Quasi tutti si collocano tra 6 e 8 su entrambe le abilità: nessuno si sente incapace, pochi si sentono sicurissimi. Ci si sente più capaci a riconoscere l'adescamento che a riconoscere un falso, tranne in Team Pasqua, che è la squadra più prudente su entrambe. I voti in blu sono dati trascritti dalle schede.</t>
  </si>
  <si>
    <t xml:space="preserve">Fase 1 - Reale vs IA: tutte le risposte</t>
  </si>
  <si>
    <t xml:space="preserve">Esito = 1 se la risposta coincide con la soluzione, 0 se no, n.v. se la risposta è ambigua</t>
  </si>
  <si>
    <t xml:space="preserve">Chiave</t>
  </si>
  <si>
    <t xml:space="preserve">Foto</t>
  </si>
  <si>
    <t xml:space="preserve">Soluzione</t>
  </si>
  <si>
    <t xml:space="preserve">Risposta squadra</t>
  </si>
  <si>
    <t xml:space="preserve">Esito</t>
  </si>
  <si>
    <t xml:space="preserve">Difficoltà percepita (1-5)</t>
  </si>
  <si>
    <t xml:space="preserve">Indizio dichiarato</t>
  </si>
  <si>
    <t xml:space="preserve">Nota di trascrizione</t>
  </si>
  <si>
    <t xml:space="preserve">TON|L0|1</t>
  </si>
  <si>
    <t xml:space="preserve">L0</t>
  </si>
  <si>
    <t xml:space="preserve">Reale</t>
  </si>
  <si>
    <t xml:space="preserve">TON|L0|2</t>
  </si>
  <si>
    <t xml:space="preserve">IA</t>
  </si>
  <si>
    <t xml:space="preserve">TON|L0|3</t>
  </si>
  <si>
    <t xml:space="preserve">Non esiste tra le vesti papali</t>
  </si>
  <si>
    <t xml:space="preserve">TON|L1|1</t>
  </si>
  <si>
    <t xml:space="preserve">L1</t>
  </si>
  <si>
    <t xml:space="preserve">Muscolatura del collo estrema: se allenasse il collo sarebbe anche più largo</t>
  </si>
  <si>
    <t xml:space="preserve">TON|L1|2</t>
  </si>
  <si>
    <t xml:space="preserve">TON|L1|3</t>
  </si>
  <si>
    <t xml:space="preserve">TON|L2|1</t>
  </si>
  <si>
    <t xml:space="preserve">L2</t>
  </si>
  <si>
    <t xml:space="preserve">Differenziazioni nello sfondo secondario</t>
  </si>
  <si>
    <t xml:space="preserve">TON|L2|2</t>
  </si>
  <si>
    <t xml:space="preserve">TON|L2|3</t>
  </si>
  <si>
    <t xml:space="preserve">Tratti somatici modificati</t>
  </si>
  <si>
    <t xml:space="preserve">TON|L3|1</t>
  </si>
  <si>
    <t xml:space="preserve">L3</t>
  </si>
  <si>
    <t xml:space="preserve">Dal foglio aggiuntivo</t>
  </si>
  <si>
    <t xml:space="preserve">TON|L3|2</t>
  </si>
  <si>
    <t xml:space="preserve">TON|L3|3</t>
  </si>
  <si>
    <t xml:space="preserve">Presenza di filtri</t>
  </si>
  <si>
    <t xml:space="preserve">Dal foglio aggiuntivo (corretto da No a Si)</t>
  </si>
  <si>
    <t xml:space="preserve">TON|L4|1</t>
  </si>
  <si>
    <t xml:space="preserve">L4</t>
  </si>
  <si>
    <t xml:space="preserve">Contrasto elevato</t>
  </si>
  <si>
    <t xml:space="preserve">Corretto da No a Si nel foglio aggiuntivo</t>
  </si>
  <si>
    <t xml:space="preserve">TON|L4|2</t>
  </si>
  <si>
    <t xml:space="preserve">?</t>
  </si>
  <si>
    <t xml:space="preserve">Saturazione dei colori</t>
  </si>
  <si>
    <t xml:space="preserve">Tabella: No / foglio aggiuntivo: Si - escluso dal punteggio</t>
  </si>
  <si>
    <t xml:space="preserve">TON|L4|3</t>
  </si>
  <si>
    <t xml:space="preserve">TON|L4|4</t>
  </si>
  <si>
    <t xml:space="preserve">Persone sullo sfondo secondario irreali</t>
  </si>
  <si>
    <t xml:space="preserve">DIV|L0|1</t>
  </si>
  <si>
    <t xml:space="preserve">DIV|L0|2</t>
  </si>
  <si>
    <t xml:space="preserve">DIV|L0|3</t>
  </si>
  <si>
    <t xml:space="preserve">DIV|L1|1</t>
  </si>
  <si>
    <t xml:space="preserve">Bambolina di porcellana</t>
  </si>
  <si>
    <t xml:space="preserve">DIV|L1|2</t>
  </si>
  <si>
    <t xml:space="preserve">DIV|L1|3</t>
  </si>
  <si>
    <t xml:space="preserve">DIV|L2|1</t>
  </si>
  <si>
    <t xml:space="preserve">Pelle perfettissima, sfondo strano</t>
  </si>
  <si>
    <t xml:space="preserve">DIV|L2|2</t>
  </si>
  <si>
    <t xml:space="preserve">DIV|L2|3</t>
  </si>
  <si>
    <t xml:space="preserve">Troppo "perfetta"</t>
  </si>
  <si>
    <t xml:space="preserve">DIV|L3|1</t>
  </si>
  <si>
    <t xml:space="preserve">Occhi e luce degli occhi surreale</t>
  </si>
  <si>
    <t xml:space="preserve">DIV|L3|2</t>
  </si>
  <si>
    <t xml:space="preserve">DIV|L3|3</t>
  </si>
  <si>
    <t xml:space="preserve">Tratti e ombre surreali</t>
  </si>
  <si>
    <t xml:space="preserve">DIV|L4|1</t>
  </si>
  <si>
    <t xml:space="preserve">Mignolo strano</t>
  </si>
  <si>
    <t xml:space="preserve">DIV|L4|2</t>
  </si>
  <si>
    <t xml:space="preserve">DIV|L4|3</t>
  </si>
  <si>
    <t xml:space="preserve">DIV|L4|4</t>
  </si>
  <si>
    <t xml:space="preserve">Amica dietro strana</t>
  </si>
  <si>
    <t xml:space="preserve">BIS|L0|1</t>
  </si>
  <si>
    <t xml:space="preserve">BIS|L0|2</t>
  </si>
  <si>
    <t xml:space="preserve">BIS|L0|3</t>
  </si>
  <si>
    <t xml:space="preserve">Come è vestito il Papa</t>
  </si>
  <si>
    <t xml:space="preserve">BIS|L1|1</t>
  </si>
  <si>
    <t xml:space="preserve">Troppo bello, pelle perfetta</t>
  </si>
  <si>
    <t xml:space="preserve">BIS|L1|2</t>
  </si>
  <si>
    <t xml:space="preserve">BIS|L1|3</t>
  </si>
  <si>
    <t xml:space="preserve">Ritoccata, non falsa</t>
  </si>
  <si>
    <t xml:space="preserve">BIS|L2|1</t>
  </si>
  <si>
    <t xml:space="preserve">BIS|L2|2</t>
  </si>
  <si>
    <t xml:space="preserve">BIS|L2|3</t>
  </si>
  <si>
    <t xml:space="preserve">Pelle perfetta, la mano e lo sfondo</t>
  </si>
  <si>
    <t xml:space="preserve">BIS|L3|1</t>
  </si>
  <si>
    <t xml:space="preserve">Sfondo</t>
  </si>
  <si>
    <t xml:space="preserve">BIS|L3|2</t>
  </si>
  <si>
    <t xml:space="preserve">BIS|L3|3</t>
  </si>
  <si>
    <t xml:space="preserve">Sfondo dettagliato e faccia che sembra una conosciuta (motivo per crederla reale)</t>
  </si>
  <si>
    <t xml:space="preserve">BIS|L4|1</t>
  </si>
  <si>
    <t xml:space="preserve">BIS|L4|2</t>
  </si>
  <si>
    <t xml:space="preserve">Si barrato, No annerito: letto come correzione a No</t>
  </si>
  <si>
    <t xml:space="preserve">BIS|L4|3</t>
  </si>
  <si>
    <t xml:space="preserve">BIS|L4|4</t>
  </si>
  <si>
    <t xml:space="preserve">PAS|L0|1</t>
  </si>
  <si>
    <t xml:space="preserve">PAS|L0|2</t>
  </si>
  <si>
    <t xml:space="preserve">PAS|L0|3</t>
  </si>
  <si>
    <t xml:space="preserve">PAS|L1|1</t>
  </si>
  <si>
    <t xml:space="preserve">Sembra quello di TikTok, falso</t>
  </si>
  <si>
    <t xml:space="preserve">PAS|L1|2</t>
  </si>
  <si>
    <t xml:space="preserve">PAS|L1|3</t>
  </si>
  <si>
    <t xml:space="preserve">Sembra ritoccata</t>
  </si>
  <si>
    <t xml:space="preserve">Entrambe le caselle segnate, 'NO' scritto accanto a No: letto come Si</t>
  </si>
  <si>
    <t xml:space="preserve">PAS|L2|1</t>
  </si>
  <si>
    <t xml:space="preserve">Ha la mano in qualcosa</t>
  </si>
  <si>
    <t xml:space="preserve">PAS|L2|2</t>
  </si>
  <si>
    <t xml:space="preserve">PAS|L2|3</t>
  </si>
  <si>
    <t xml:space="preserve">Si vede che non è naturale</t>
  </si>
  <si>
    <t xml:space="preserve">PAS|L3|1</t>
  </si>
  <si>
    <t xml:space="preserve">La porta storta</t>
  </si>
  <si>
    <t xml:space="preserve">PAS|L3|2</t>
  </si>
  <si>
    <t xml:space="preserve">PAS|L3|3</t>
  </si>
  <si>
    <t xml:space="preserve">Si vede che è minimamente ritoccata</t>
  </si>
  <si>
    <t xml:space="preserve">PAS|L4|1</t>
  </si>
  <si>
    <t xml:space="preserve">Luce sbagliata e cose che si uniscono</t>
  </si>
  <si>
    <t xml:space="preserve">'NO' scritto accanto a No: letto come Si</t>
  </si>
  <si>
    <t xml:space="preserve">PAS|L4|2</t>
  </si>
  <si>
    <t xml:space="preserve">Le persone dietro sono fake</t>
  </si>
  <si>
    <t xml:space="preserve">PAS|L4|3</t>
  </si>
  <si>
    <t xml:space="preserve">"Non ci aspettavamo che fosse vera"</t>
  </si>
  <si>
    <t xml:space="preserve">Commento scritto dopo la rivelazione: la credevano vera ed è falsa</t>
  </si>
  <si>
    <t xml:space="preserve">PAS|L4|4</t>
  </si>
  <si>
    <t xml:space="preserve">Le persone dietro e le posizioni</t>
  </si>
  <si>
    <t xml:space="preserve">DRE|L0|1</t>
  </si>
  <si>
    <t xml:space="preserve">DRE|L0|2</t>
  </si>
  <si>
    <t xml:space="preserve">Troppo perfetto</t>
  </si>
  <si>
    <t xml:space="preserve">DRE|L0|3</t>
  </si>
  <si>
    <t xml:space="preserve">Il Papa indossa un giubbotto</t>
  </si>
  <si>
    <t xml:space="preserve">DRE|L1|1</t>
  </si>
  <si>
    <t xml:space="preserve">DRE|L1|2</t>
  </si>
  <si>
    <t xml:space="preserve">DRE|L1|3</t>
  </si>
  <si>
    <t xml:space="preserve">DRE|L2|1</t>
  </si>
  <si>
    <t xml:space="preserve">DRE|L2|2</t>
  </si>
  <si>
    <t xml:space="preserve">DRE|L2|3</t>
  </si>
  <si>
    <t xml:space="preserve">DRE|L3|1</t>
  </si>
  <si>
    <t xml:space="preserve">DRE|L3|2</t>
  </si>
  <si>
    <t xml:space="preserve">DRE|L3|3</t>
  </si>
  <si>
    <t xml:space="preserve">Sembra un uso di filtri</t>
  </si>
  <si>
    <t xml:space="preserve">'NO' scritto accanto a entrambe le caselle - escluso dal punteggio</t>
  </si>
  <si>
    <t xml:space="preserve">DRE|L4|1</t>
  </si>
  <si>
    <t xml:space="preserve">Macchia</t>
  </si>
  <si>
    <t xml:space="preserve">DRE|L4|2</t>
  </si>
  <si>
    <t xml:space="preserve">DRE|L4|3</t>
  </si>
  <si>
    <t xml:space="preserve">DRE|L4|4</t>
  </si>
  <si>
    <t xml:space="preserve">Accuratezza per squadra</t>
  </si>
  <si>
    <t xml:space="preserve">Risposte valide</t>
  </si>
  <si>
    <t xml:space="preserve">Corrette</t>
  </si>
  <si>
    <t xml:space="preserve">Falsi positivi (reale giudicata IA)</t>
  </si>
  <si>
    <t xml:space="preserve">Falsi negativi (IA giudicata reale)</t>
  </si>
  <si>
    <t xml:space="preserve">Totale</t>
  </si>
  <si>
    <t xml:space="preserve">Accuratezza per livello (tutte le squadre)</t>
  </si>
  <si>
    <t xml:space="preserve">Difficoltà media percepita</t>
  </si>
  <si>
    <t xml:space="preserve">Fase 1 - Matrice delle risposte (IA / Reale) per foto e squadra</t>
  </si>
  <si>
    <t xml:space="preserve">Verde = risposta corretta, rosso = errata. Le celle leggono il foglio 'F1 Foto (dati)'.</t>
  </si>
  <si>
    <t xml:space="preserve">Squadre che indovinano</t>
  </si>
  <si>
    <t xml:space="preserve">% corrette</t>
  </si>
  <si>
    <t xml:space="preserve">Osservazione</t>
  </si>
  <si>
    <t xml:space="preserve">Foto reale ma 'ritoccata': 2 squadre la segnano come IA (BIS, PAS)</t>
  </si>
  <si>
    <t xml:space="preserve">Foto reale giudicata IA da 3 squadre per sfondo, pelle o mano: l'indizio 'troppo perfetto' genera falsi allarmi</t>
  </si>
  <si>
    <t xml:space="preserve">BIS la crede reale perché 'la faccia sembra una conosciuta': la familiarità abbassa la guardia</t>
  </si>
  <si>
    <t xml:space="preserve">Divisione netta tra squadre</t>
  </si>
  <si>
    <t xml:space="preserve">Nessuna squadra la riconosce come IA. PAS: "non ci aspettavamo che fosse vera"</t>
  </si>
  <si>
    <t xml:space="preserve">Chi la riconosce lo fa dalle persone sullo sfondo</t>
  </si>
  <si>
    <t xml:space="preserve">Commenti scritti dalle squadre</t>
  </si>
  <si>
    <t xml:space="preserve">"Ci siamo accorti che alle volte è molto facile cadere nelle trappole dell'IA"</t>
  </si>
  <si>
    <t xml:space="preserve">"Le iniziali erano molto semplici mentre il livello 4 era difficilissimo"</t>
  </si>
  <si>
    <t xml:space="preserve">"È stato sconvolgente scoprire di non essere capaci di individuare nei livelli più avanzati le immagini create dall'IA"</t>
  </si>
  <si>
    <t xml:space="preserve">Fase 1bis - Confronti: quale foto è stata generata dall'altra, e quella rimasta com'è?</t>
  </si>
  <si>
    <t xml:space="preserve">Soluzioni dalla presentazione: A = Foto 2 generata, Foto 1 a sua volta modificata; B = Foto 2 generata, Foto 1 autentica; C = Foto 1 generata, Foto 2 modificata</t>
  </si>
  <si>
    <t xml:space="preserve">Coppia</t>
  </si>
  <si>
    <t xml:space="preserve">Sol. foto generata</t>
  </si>
  <si>
    <t xml:space="preserve">Risposta</t>
  </si>
  <si>
    <t xml:space="preserve">Sol. foto rimasta</t>
  </si>
  <si>
    <t xml:space="preserve">Difficoltà</t>
  </si>
  <si>
    <t xml:space="preserve">Note / indizi</t>
  </si>
  <si>
    <t xml:space="preserve">Foto 2</t>
  </si>
  <si>
    <t xml:space="preserve">Modificata</t>
  </si>
  <si>
    <t xml:space="preserve">Componenti dell'auto sproporzionati</t>
  </si>
  <si>
    <t xml:space="preserve">Autentica</t>
  </si>
  <si>
    <t xml:space="preserve">Rossore sotto (gli occhi)</t>
  </si>
  <si>
    <t xml:space="preserve">Foto 1</t>
  </si>
  <si>
    <t xml:space="preserve">"ops"</t>
  </si>
  <si>
    <t xml:space="preserve">Foto generata non indicata</t>
  </si>
  <si>
    <t xml:space="preserve">Non compilata</t>
  </si>
  <si>
    <t xml:space="preserve">Troppo perfetta</t>
  </si>
  <si>
    <t xml:space="preserve">Autentica e Modificata entrambe barrate</t>
  </si>
  <si>
    <t xml:space="preserve">Foto generata: corrette</t>
  </si>
  <si>
    <t xml:space="preserve">su compilate</t>
  </si>
  <si>
    <t xml:space="preserve">Foto rimasta: corrette</t>
  </si>
  <si>
    <t xml:space="preserve">su valide</t>
  </si>
  <si>
    <t xml:space="preserve">Tutti trovano la foto generata, ma Divo e Dream Team credono autentica la foto di partenza, che era già stata modificata: nessuno si aspetta una doppia manipolazione.</t>
  </si>
  <si>
    <t xml:space="preserve">Foto generata trovata da tutti; Biscotto pensa che anche l'originale sia modificata (eccesso di sospetto).</t>
  </si>
  <si>
    <t xml:space="preserve">Biscotto e Team Pasqua non la compilano, Divo solo in parte; chi risponde lo fa correttamente.</t>
  </si>
  <si>
    <t xml:space="preserve">Su cosa si basano per dire 'è fatta con l'IA'</t>
  </si>
  <si>
    <t xml:space="preserve">Ogni riga è un indizio scritto in una scheda. Esito = la risposta a cui l'indizio ha portato era giusta (1) o sbagliata (0)</t>
  </si>
  <si>
    <t xml:space="preserve">Categoria</t>
  </si>
  <si>
    <t xml:space="preserve">Riferimento</t>
  </si>
  <si>
    <t xml:space="preserve">Indizio scritto</t>
  </si>
  <si>
    <t xml:space="preserve">Risposta data</t>
  </si>
  <si>
    <t xml:space="preserve">Contesto implausibile</t>
  </si>
  <si>
    <t xml:space="preserve">F1-L0-F3</t>
  </si>
  <si>
    <t xml:space="preserve">Anatomia (mani, dita, collo)</t>
  </si>
  <si>
    <t xml:space="preserve">F1-L1-F1</t>
  </si>
  <si>
    <t xml:space="preserve">Sfondo e persone sullo sfondo</t>
  </si>
  <si>
    <t xml:space="preserve">F1-L2-F1</t>
  </si>
  <si>
    <t xml:space="preserve">Tratti del volto alterati</t>
  </si>
  <si>
    <t xml:space="preserve">F1-L2-F3</t>
  </si>
  <si>
    <t xml:space="preserve">Filtri, colori, ritocco</t>
  </si>
  <si>
    <t xml:space="preserve">F1-L3-F3</t>
  </si>
  <si>
    <t xml:space="preserve">F1-L4-F1</t>
  </si>
  <si>
    <t xml:space="preserve">F1-L4-F2</t>
  </si>
  <si>
    <t xml:space="preserve">F1-L4-F4</t>
  </si>
  <si>
    <t xml:space="preserve">Pelle/volto 'troppo perfetti'</t>
  </si>
  <si>
    <t xml:space="preserve">Luce, occhi, ombre</t>
  </si>
  <si>
    <t xml:space="preserve">F1-L3-F1</t>
  </si>
  <si>
    <t xml:space="preserve">F1-L1-F3</t>
  </si>
  <si>
    <t xml:space="preserve">Familiarità / somiglianza</t>
  </si>
  <si>
    <t xml:space="preserve">Oggetti deformati o fusi</t>
  </si>
  <si>
    <t xml:space="preserve">F1-L0-F2</t>
  </si>
  <si>
    <t xml:space="preserve">F1bis-A</t>
  </si>
  <si>
    <t xml:space="preserve">F1bis-B</t>
  </si>
  <si>
    <t xml:space="preserve">Riepilogo per categoria</t>
  </si>
  <si>
    <t xml:space="preserve">Citazioni</t>
  </si>
  <si>
    <t xml:space="preserve">Squadre che la usano</t>
  </si>
  <si>
    <t xml:space="preserve">Portano alla risposta giusta</t>
  </si>
  <si>
    <t xml:space="preserve">Affidabilità</t>
  </si>
  <si>
    <t xml:space="preserve">Biscotto, Divo, Dream Team, Team Pasqua</t>
  </si>
  <si>
    <t xml:space="preserve">L'indizio più condiviso. Funziona sulle foto facili ma genera anche falsi allarmi su foto reali (F1-L2-F1).</t>
  </si>
  <si>
    <t xml:space="preserve">Biscotto, Divo, Dream Team, Team Pasqua, Tontony</t>
  </si>
  <si>
    <t xml:space="preserve">Il più usato in assoluto e il più utile sui livelli difficili (persone sullo sfondo), ma uno 'sfondo dettagliato' viene letto anche come prova di realtà.</t>
  </si>
  <si>
    <t xml:space="preserve">Biscotto, Divo, Team Pasqua, Tontony</t>
  </si>
  <si>
    <t xml:space="preserve">Utile (mignolo, collo) ma porta a errori quando un dettaglio reale sembra strano (la mano in F1-L2-F1).</t>
  </si>
  <si>
    <t xml:space="preserve">Divo, Team Pasqua</t>
  </si>
  <si>
    <t xml:space="preserve">Usato poco, ma sempre con esito corretto.</t>
  </si>
  <si>
    <t xml:space="preserve">Biscotto, Dream Team, Team Pasqua, Tontony</t>
  </si>
  <si>
    <t xml:space="preserve">Confonde 'ritoccata' con 'generata': le foto reali con filtri vengono scambiate per IA.</t>
  </si>
  <si>
    <t xml:space="preserve">Dream Team, Team Pasqua, Tontony</t>
  </si>
  <si>
    <t xml:space="preserve">Indizio raro ma preciso (porta storta, auto sproporzionata).</t>
  </si>
  <si>
    <t xml:space="preserve">Biscotto, Dream Team, Tontony</t>
  </si>
  <si>
    <t xml:space="preserve">Funziona solo sul caso famoso (il Papa): utile per le foto virali, inutile sui selfie.</t>
  </si>
  <si>
    <t xml:space="preserve">Biscotto, Team Pasqua</t>
  </si>
  <si>
    <t xml:space="preserve">Pericoloso: un volto che 'sembra conosciuto' rende la foto più credibile.</t>
  </si>
  <si>
    <t xml:space="preserve">Indizio fine, usato da una sola squadra.</t>
  </si>
  <si>
    <t xml:space="preserve">Fase 2 - Fidarsi? Giudizio sulle chat</t>
  </si>
  <si>
    <t xml:space="preserve">Domanda 1 della scheda: 'Secondo voi è una chat sospetta di adescamento?' (le domande 2-3 sono state discusse a voce)</t>
  </si>
  <si>
    <t xml:space="preserve">Chat</t>
  </si>
  <si>
    <t xml:space="preserve">Sì</t>
  </si>
  <si>
    <t xml:space="preserve">No</t>
  </si>
  <si>
    <t xml:space="preserve">Non sappiamo</t>
  </si>
  <si>
    <t xml:space="preserve">Consenso</t>
  </si>
  <si>
    <t xml:space="preserve">Chat 1</t>
  </si>
  <si>
    <t xml:space="preserve">Chat 2</t>
  </si>
  <si>
    <t xml:space="preserve">Chat 3</t>
  </si>
  <si>
    <t xml:space="preserve">Chat 4 (parte 1 e 2)</t>
  </si>
  <si>
    <t xml:space="preserve">Chat 5</t>
  </si>
  <si>
    <t xml:space="preserve">Cosa hanno notato, chat per chat</t>
  </si>
  <si>
    <t xml:space="preserve">Note scritte dai gruppi</t>
  </si>
  <si>
    <t xml:space="preserve">Osservazioni del team (codici OSS)</t>
  </si>
  <si>
    <t xml:space="preserve">Punti comuni / divergenze</t>
  </si>
  <si>
    <t xml:space="preserve">[CH-TON-C1] Tontony: Vittimismo finale, trucco psicologico; non rivela l'identità e fa domande sospette; risponde troppo velocemente
[CH-DRE-C1] Dream Team: Domande strane, un po' da stalker; chiede foto; evita i problemi</t>
  </si>
  <si>
    <t xml:space="preserve">[OSS-01] Chat percepita come normale, forse "pressa un po' troppo"
[OSS-02] Notano la schermata centrale: controllare il telefono e inventare scuse
[OSS-03] Lo bloccherebbero
[OSS-04] L'ultima schermata, gli ultimi messaggi sono i peggiori (escalation)
[OSS-05] Molti capiscono che la chat 1 è pericolosa e discutono sia dei messaggi sia delle risposte</t>
  </si>
  <si>
    <t xml:space="preserve">COMUNE: riconoscono l'escalation finale e la richiesta di nascondere/controllare il telefono; reazione tipica: bloccare.
DIVERGENZA: Divo la giudica non sospetta e un'osservazione la descrive come 'chat normale': i segnali iniziali sono deboli e vengono notati solo alla fine.</t>
  </si>
  <si>
    <t xml:space="preserve">[CH-DRE-C2] Dream Team: Manda foto fatte con l'IA; chiede foto</t>
  </si>
  <si>
    <t xml:space="preserve">-</t>
  </si>
  <si>
    <t xml:space="preserve">DIVERGENZA FORTE: Biscotto Sì, Dream Team No (pur annotando foto fatte con l'IA e richiesta di foto), Tontony 'non sappiamo', 2 squadre non rispondono. Chat su cui manca un criterio condiviso.</t>
  </si>
  <si>
    <t xml:space="preserve">[CH-TON-C3] Tontony: Ha degli elementi genuini e anche un po' tossici. Il cercare il confronto frontale fa pensare a un sì però
[CH-DIV-C3] Divo: "Sembra un account" (profilo costruito/falso)</t>
  </si>
  <si>
    <t xml:space="preserve">[OSS-07] Si fanno troppa confidenza senza conoscersi ("non ti tratterei mai così"); insistenza nella richiesta della foto
[OSS-08] Notano la foto finta inviata nella chat e quindi i metodi per guadagnare fiducia
[OSS-09] Notano gli orari dei messaggi come possibile indicatore di sospetto</t>
  </si>
  <si>
    <t xml:space="preserve">COMUNE: troppa confidenza senza conoscersi, insistenza sulla foto, foto finta usata per guadagnare fiducia, orari sospetti.
DIVERGENZA: Tontony vede 'elementi genuini' (la proposta di vedersi di persona sembra una garanzia); Dream Team la giudica non sospetta.</t>
  </si>
  <si>
    <t xml:space="preserve">[CH-TON-C4] Tontony: Spostarsi su Snapchat; frase di lusinga esagerata ("unica...", lettura incerta); poi chiede di non presentarsi con altri
[CH-DRE-C4] Dream Team: Un po' pervertito; cerca di isolarti ("cerca la solitudine"); una foto finta; chiede dati personali; stalker; passaggio di app sospetto</t>
  </si>
  <si>
    <t xml:space="preserve">[OSS-10] Pressa troppo soprattutto nella fase finale ("Alle 4 in Duomo..."), però "se lo conosco da un po' ci può stare"
[OSS-11] Mancano riferimenti: nessuno chiede ulteriori prove a lui, accettano passivamente il suo comportamento
[OSS-12] Stalker: sa cose che non sono state dette; scrive nonostante la differenza di età
[OSS-13] Passaggio a Snapchat; tono aggressivo; chiede di venire da sola e di mentire ai genitori
[OSS-14] Chiede dati personali e dettagli che i ragazzi non se la sentono di condividere; mettono in discussione il passaggio a Snapchat
[OSS-15] Se non lo conoscono non danno il numero o altri dettagli, per non essere tracciati/seguiti su altre piattaforme
[OSS-16] Per le ragazze è strano che un ragazzo di 21 anni scriva a una ragazza di 16: chat sospetta
[OSS-17] La foto sembra falsa, quindi non si fiderebbero a continuare la conversazione</t>
  </si>
  <si>
    <t xml:space="preserve">COMUNE: la chat più riconosciuta: cambio di app (Snapchat), richiesta di venire da sola e mentire ai genitori, differenza d'età, dati personali, sa cose non dette.
SORPRESA: 'se lo conosco da un po' ci può stare' e nessuno chiede prove della sua identità (OSS-10, OSS-11).</t>
  </si>
  <si>
    <t xml:space="preserve">[CH-TON-C5] Tontony: Contraddizione nel "dove ti ho visto". Dopo aver condiviso la foto, l'adescatore non risponde più
[CH-DRE-C5] Dream Team: Stalker, pervertito</t>
  </si>
  <si>
    <t xml:space="preserve">[OSS-18] I genitori vengono "saltati": vanno alla polizia postale o avvisano loro gli amici che le foto sono fake, mai dai genitori (poca confidenza o timore)
[OSS-19] Interlocutore vago, omette informazioni, insistente, fa molte domande
[OSS-20] La vittima non vuole dirlo a nessuno (comprensibile) ma bisogna parlarne: prima con persone di confidenza (sorella, amica), poi con i genitori, per sentire più pareri
[OSS-21] Alcuni andrebbero avanti per capire di più su Luca; altri notano la contraddizione (dice di aver visto Matteo alla partita ma gli chiede una foto con la maglia)
[OSS-22] Non avrebbero inviato la foto; in caso di sospetto lo direbbero ai genitori</t>
  </si>
  <si>
    <t xml:space="preserve">COMUNE: nessuno manderebbe la foto; notano la contraddizione 'ti ho visto alla partita'.
DIVERGENZA: a chi chiederebbero aiuto: polizia postale e amici saltando i genitori (OSS-18), prima sorella/amica e poi genitori (OSS-20), direttamente i genitori (OSS-22). Alcuni andrebbero avanti per curiosità (OSS-21).</t>
  </si>
  <si>
    <t xml:space="preserve">Chat 5.1</t>
  </si>
  <si>
    <t xml:space="preserve">[CH-DRE-C5.1] Dream Team: Cyberbullismo modificando foto</t>
  </si>
  <si>
    <t xml:space="preserve">[OSS-23] La foto modificata inoltrata nel gruppo è vista come uno scherzo; se girasse in più gruppi o con sconosciuti la prenderebbero più seriamente. Sensibilità parziale: va chiarito quando diventa grave
[OSS-24] Non si mandano foto modificate con l'IA sul gruppo, la prenderebbero male indipendentemente dal tono; dipende dal soggetto preso di mira, ma se la prende male è giusto eliminarla
[OSS-25] Considerano la chat uno scherzo nonostante Matteo sia uscito dal gruppo e abbia chiesto di togliere la foto</t>
  </si>
  <si>
    <t xml:space="preserve">DIVERGENZA: per alcuni la foto modificata nel gruppo è uno scherzo anche quando la vittima esce dal gruppo (OSS-25); per altri non si fa mai (OSS-24). Biscotto la prenderebbe sul serio solo se girasse fuori dal gruppo (OSS-23).</t>
  </si>
  <si>
    <t xml:space="preserve">Chat 6</t>
  </si>
  <si>
    <t xml:space="preserve">[CH-DRE-C6] Dream Team: Parlare con un adulto o con qualcuno che ti possa aiutare</t>
  </si>
  <si>
    <t xml:space="preserve">Nessuna squadra ha segnato la risposta preferita di Giulia. Dream Team scrive che bisogna parlare con un adulto o con qualcuno che può aiutare.</t>
  </si>
  <si>
    <t xml:space="preserve">Tavola rotonda - risposte alle domande TR1-TR4</t>
  </si>
  <si>
    <t xml:space="preserve">Domanda</t>
  </si>
  <si>
    <t xml:space="preserve">Sotto-domanda (co-design)</t>
  </si>
  <si>
    <t xml:space="preserve">Bisogni</t>
  </si>
  <si>
    <t xml:space="preserve">TR1. Quando vi scrive qualcuno che non conoscete, su cosa vi basate per decidere se fidarvi?</t>
  </si>
  <si>
    <t xml:space="preserve">Vi piacerebbe che un servizio vi insegnasse come riconoscere i segnali più affidabili da chi vi scrive? In che forma? (consigli brevi, esempi, video, giochi interattivi, botta e risposta)</t>
  </si>
  <si>
    <t xml:space="preserve">Questo progetto ci ha interessato perché ci ha fatto agire in prima persona, con giochi e quiz interattivi. Ci piacerebbe la presenza di un servizio educativo al comportamento online.</t>
  </si>
  <si>
    <t xml:space="preserve">Rispondo ma faccio sia domande sia risposte "basilari", cose di poco conto. Se ci rendiamo conto che c'è un pericolo smettiamo. Guardiamo anche gli amici in comune e le storie in evidenza (se ci sono). Sì, ci piacerebbe, magari attraverso ore scolastiche più interattive come oggi o cose più tecnologiche, non una lezione come le solite.</t>
  </si>
  <si>
    <t xml:space="preserve">In base ai messaggi che manda e al fatto se è insistente o meno. Incontri come oggi possono servire e sono belli.</t>
  </si>
  <si>
    <t xml:space="preserve">Mi fido di più se ci sono degli amici in comune e se l'ho visto almeno una volta in giro o a scuola. Inoltre ci piacerebbe avere un servizio per essere più consapevoli.</t>
  </si>
  <si>
    <t xml:space="preserve">Se lo conosco già dal vivo mi fido, altrimenti no.</t>
  </si>
  <si>
    <t xml:space="preserve">Ci si fida di chi si conosce dal vivo o di chi ha amici in comune / storie in evidenza; insistenza come campanello. Tutte le squadre che rispondono alla sotto-domanda vogliono un servizio educativo, purché attivo e interattivo ('come oggi', giochi e quiz).</t>
  </si>
  <si>
    <t xml:space="preserve">Strategie diverse: Dream Team non si fida mai di chi non conosce dal vivo; Divo risponde 'con cose basilari' e smette solo se avverte il pericolo (mette alla prova la conversazione invece di chiudere).</t>
  </si>
  <si>
    <t xml:space="preserve">B1, B3, B6</t>
  </si>
  <si>
    <t xml:space="preserve">TR2. Vi sentite capaci di riconoscere una foto fatta con l'IA? Cosa vi rende sicuri?</t>
  </si>
  <si>
    <t xml:space="preserve">Preferite ricevere feedback dalla piattaforma o vi stimola di più un gioco tipo vero o falso, con punti, livelli e sfide anche con amici online?</t>
  </si>
  <si>
    <t xml:space="preserve">Ci sentiamo abbastanza sicuri, anche se davanti al livello difficile del quiz ci siamo resi conto di quanto può essere facile essere adescati online.</t>
  </si>
  <si>
    <t xml:space="preserve">Abbastanza, soprattutto rispetto a certi adulti. Siamo più abituati a stare in contatto con l'IA.</t>
  </si>
  <si>
    <t xml:space="preserve">Sì, nella maggior parte dei casi, ma alcune ingannano. Guardare i dettagli.</t>
  </si>
  <si>
    <t xml:space="preserve">Riconosciamo la maggior parte delle foto fatte con l'IA, eccetto alcune.</t>
  </si>
  <si>
    <t xml:space="preserve">No, [la percezione sui volti è difficile - lettura incerta]. Gioco con punti e livelli online con gli amici.</t>
  </si>
  <si>
    <t xml:space="preserve">Si sentono 'abbastanza' capaci, ma ammettono che alcune foto ingannano; la sicurezza viene dal 'guardare i dettagli'.</t>
  </si>
  <si>
    <t xml:space="preserve">Divo si sente più capace degli adulti 'perché più abituati all'IA'; Dream Team risponde 'No' e indica il gioco a punti e livelli con amici; Tontony dice che il livello difficile ha fatto capire quanto è facile cadere.</t>
  </si>
  <si>
    <t xml:space="preserve">B4, B1</t>
  </si>
  <si>
    <t xml:space="preserve">TR3. Siete d'accordo nell'avere un forum come spazio condiviso?</t>
  </si>
  <si>
    <t xml:space="preserve">Deve esserci solo pubblicazione e lettura delle esperienze, o anche reazioni e commenti (revisionati per evitare commenti inappropriati)?</t>
  </si>
  <si>
    <t xml:space="preserve">Sì, siamo d'accordo perché l'esperienza del singolo può aiutare il gruppo, ma altre persone possono screditare queste esperienze utili.</t>
  </si>
  <si>
    <t xml:space="preserve">Sì, sarebbe un'ottima opzione; dovrebbero esserci più possibilità sociali (reazioni/commenti).</t>
  </si>
  <si>
    <t xml:space="preserve">Se ci sono consigli ed esperienze sì, ma non condivideremmo esperienze personali.</t>
  </si>
  <si>
    <t xml:space="preserve">Noi manterremmo le interazioni e i commenti, soprattutto se le piattaforme online incrementassero la sicurezza e controllassero i commenti negativi.</t>
  </si>
  <si>
    <t xml:space="preserve">Non saprei come risponderei, dato che non ho mai fatto un'esperienza in un forum.</t>
  </si>
  <si>
    <t xml:space="preserve">Il forum piace come luogo per leggere esperienze e consigli.</t>
  </si>
  <si>
    <t xml:space="preserve">Sulla scrittura: Biscotto non condividerebbe esperienze personali; Team Pasqua e Divo vogliono commenti e reazioni ma moderati; Tontony teme che altri 'screditino' le esperienze; Dream Team non ha mai usato un forum.</t>
  </si>
  <si>
    <t xml:space="preserve">B2</t>
  </si>
  <si>
    <t xml:space="preserve">TR4. Quali sono i principali motivi per cui diffidate nel parlarne con gli adulti?</t>
  </si>
  <si>
    <t xml:space="preserve">È utile inserire nell'app la possibilità di fare da tutor su questa problematica? Può aumentare la probabilità di parlarne o resta la paura?</t>
  </si>
  <si>
    <t xml:space="preserve">A quest'età si tende ad apprendere il mondo a modo proprio, senza chiedere consiglio a nessuno. Questa pratica può avere un risvolto negativo quando si nascondono fatti gravi.</t>
  </si>
  <si>
    <t xml:space="preserve">Perché spesso reagiscono senza cercare un punto d'incontro o di capire cosa proviamo e in che società ormai viviamo. Il tutor sarebbe utilissimo.</t>
  </si>
  <si>
    <t xml:space="preserve">Dover affrontare le conseguenze, essere giudicata e non avere più la libertà di prima.</t>
  </si>
  <si>
    <t xml:space="preserve">Ci affidiamo agli adulti perché riconosciamo in loro maggiore stabilità e maturità. Non siamo d'accordo sul tutor online perché è meglio confidarsi con qualcuno che conosci, di cui ti fidi e che può darti consigli migliori conoscendo il tuo carattere.</t>
  </si>
  <si>
    <t xml:space="preserve">La convinzione di poter risolvere tutto da soli e il disagio, dato che è molto difficile una conversazione. Secondo noi [il tutor] può aiutare i genitori a intervenire in questo frangente [lettura incerta].</t>
  </si>
  <si>
    <t xml:space="preserve">Tutte le squadre descrivono una difficoltà a parlarne con gli adulti: paura delle conseguenze, del giudizio, di perdere libertà; adulti che reagiscono senza capire; la convinzione di farcela da soli.</t>
  </si>
  <si>
    <t xml:space="preserve">Sul tutor: Divo lo trova utilissimo; Team Pasqua contraria (meglio qualcuno che ti conosce) e, unica, dice di affidarsi agli adulti; Dream Team lo vede come ponte verso i genitori.</t>
  </si>
  <si>
    <t xml:space="preserve">B7, B5</t>
  </si>
  <si>
    <t xml:space="preserve">Appunti di osservazione del team, codificati</t>
  </si>
  <si>
    <t xml:space="preserve">Chat / momento</t>
  </si>
  <si>
    <t xml:space="preserve">Squadra (se nota)</t>
  </si>
  <si>
    <t xml:space="preserve">Appunto</t>
  </si>
  <si>
    <t xml:space="preserve">Tema</t>
  </si>
  <si>
    <t xml:space="preserve">OSS-01</t>
  </si>
  <si>
    <t xml:space="preserve">Chat percepita come normale, forse "pressa un po' troppo"</t>
  </si>
  <si>
    <t xml:space="preserve">Riconoscimento segnali</t>
  </si>
  <si>
    <t xml:space="preserve">OSS-02</t>
  </si>
  <si>
    <t xml:space="preserve">Notano la schermata centrale: controllare il telefono e inventare scuse</t>
  </si>
  <si>
    <t xml:space="preserve">OSS-03</t>
  </si>
  <si>
    <t xml:space="preserve">Lo bloccherebbero</t>
  </si>
  <si>
    <t xml:space="preserve">Reazione</t>
  </si>
  <si>
    <t xml:space="preserve">OSS-04</t>
  </si>
  <si>
    <t xml:space="preserve">L'ultima schermata, gli ultimi messaggi sono i peggiori (escalation)</t>
  </si>
  <si>
    <t xml:space="preserve">OSS-05</t>
  </si>
  <si>
    <t xml:space="preserve">Molti capiscono che la chat 1 è pericolosa e discutono sia dei messaggi sia delle risposte</t>
  </si>
  <si>
    <t xml:space="preserve">OSS-06</t>
  </si>
  <si>
    <t xml:space="preserve">Generale</t>
  </si>
  <si>
    <t xml:space="preserve">Molti sono diffidenti verso sconosciuti che fanno richieste esplicite, altri accettano richieste da sconosciuti</t>
  </si>
  <si>
    <t xml:space="preserve">Criteri di fiducia</t>
  </si>
  <si>
    <t xml:space="preserve">OSS-07</t>
  </si>
  <si>
    <t xml:space="preserve">Si fanno troppa confidenza senza conoscersi ("non ti tratterei mai così"); insistenza nella richiesta della foto</t>
  </si>
  <si>
    <t xml:space="preserve">OSS-08</t>
  </si>
  <si>
    <t xml:space="preserve">Notano la foto finta inviata nella chat e quindi i metodi per guadagnare fiducia</t>
  </si>
  <si>
    <t xml:space="preserve">Deepfake nelle chat</t>
  </si>
  <si>
    <t xml:space="preserve">OSS-09</t>
  </si>
  <si>
    <t xml:space="preserve">Notano gli orari dei messaggi come possibile indicatore di sospetto</t>
  </si>
  <si>
    <t xml:space="preserve">OSS-10</t>
  </si>
  <si>
    <t xml:space="preserve">Chat 4.1-4.2</t>
  </si>
  <si>
    <t xml:space="preserve">Pressa troppo soprattutto nella fase finale ("Alle 4 in Duomo..."), però "se lo conosco da un po' ci può stare"</t>
  </si>
  <si>
    <t xml:space="preserve">OSS-11</t>
  </si>
  <si>
    <t xml:space="preserve">Mancano riferimenti: nessuno chiede ulteriori prove a lui, accettano passivamente il suo comportamento</t>
  </si>
  <si>
    <t xml:space="preserve">Verifica identità</t>
  </si>
  <si>
    <t xml:space="preserve">OSS-12</t>
  </si>
  <si>
    <t xml:space="preserve">Chat 4.1</t>
  </si>
  <si>
    <t xml:space="preserve">Stalker: sa cose che non sono state dette; scrive nonostante la differenza di età</t>
  </si>
  <si>
    <t xml:space="preserve">OSS-13</t>
  </si>
  <si>
    <t xml:space="preserve">Passaggio a Snapchat; tono aggressivo; chiede di venire da sola e di mentire ai genitori</t>
  </si>
  <si>
    <t xml:space="preserve">OSS-14</t>
  </si>
  <si>
    <t xml:space="preserve">Chat 4</t>
  </si>
  <si>
    <t xml:space="preserve">Chiede dati personali e dettagli che i ragazzi non se la sentono di condividere; mettono in discussione il passaggio a Snapchat</t>
  </si>
  <si>
    <t xml:space="preserve">OSS-15</t>
  </si>
  <si>
    <t xml:space="preserve">BIS o PAS</t>
  </si>
  <si>
    <t xml:space="preserve">Se non lo conoscono non danno il numero o altri dettagli, per non essere tracciati/seguiti su altre piattaforme</t>
  </si>
  <si>
    <t xml:space="preserve">Protezione dati</t>
  </si>
  <si>
    <t xml:space="preserve">OSS-16</t>
  </si>
  <si>
    <t xml:space="preserve">Per le ragazze è strano che un ragazzo di 21 anni scriva a una ragazza di 16: chat sospetta</t>
  </si>
  <si>
    <t xml:space="preserve">OSS-17</t>
  </si>
  <si>
    <t xml:space="preserve">La foto sembra falsa, quindi non si fiderebbero a continuare la conversazione</t>
  </si>
  <si>
    <t xml:space="preserve">OSS-18</t>
  </si>
  <si>
    <t xml:space="preserve">I genitori vengono "saltati": vanno alla polizia postale o avvisano loro gli amici che le foto sono fake, mai dai genitori (poca confidenza o timore)</t>
  </si>
  <si>
    <t xml:space="preserve">Rapporto con gli adulti</t>
  </si>
  <si>
    <t xml:space="preserve">OSS-19</t>
  </si>
  <si>
    <t xml:space="preserve">Interlocutore vago, omette informazioni, insistente, fa molte domande</t>
  </si>
  <si>
    <t xml:space="preserve">OSS-20</t>
  </si>
  <si>
    <t xml:space="preserve">La vittima non vuole dirlo a nessuno (comprensibile) ma bisogna parlarne: prima con persone di confidenza (sorella, amica), poi con i genitori, per sentire più pareri</t>
  </si>
  <si>
    <t xml:space="preserve">OSS-21</t>
  </si>
  <si>
    <t xml:space="preserve">Alcuni andrebbero avanti per capire di più su Luca; altri notano la contraddizione (dice di aver visto Matteo alla partita ma gli chiede una foto con la maglia)</t>
  </si>
  <si>
    <t xml:space="preserve">OSS-22</t>
  </si>
  <si>
    <t xml:space="preserve">Non avrebbero inviato la foto; in caso di sospetto lo direbbero ai genitori</t>
  </si>
  <si>
    <t xml:space="preserve">OSS-23</t>
  </si>
  <si>
    <t xml:space="preserve">BIS</t>
  </si>
  <si>
    <t xml:space="preserve">La foto modificata inoltrata nel gruppo è vista come uno scherzo; se girasse in più gruppi o con sconosciuti la prenderebbero più seriamente. Sensibilità parziale: va chiarito quando diventa grave</t>
  </si>
  <si>
    <t xml:space="preserve">Gravità contenuti manipolati</t>
  </si>
  <si>
    <t xml:space="preserve">OSS-24</t>
  </si>
  <si>
    <t xml:space="preserve">Non si mandano foto modificate con l'IA sul gruppo, la prenderebbero male indipendentemente dal tono; dipende dal soggetto preso di mira, ma se la prende male è giusto eliminarla</t>
  </si>
  <si>
    <t xml:space="preserve">OSS-25</t>
  </si>
  <si>
    <t xml:space="preserve">Considerano la chat uno scherzo nonostante Matteo sia uscito dal gruppo e abbia chiesto di togliere la foto</t>
  </si>
  <si>
    <t xml:space="preserve">OSS-26</t>
  </si>
  <si>
    <t xml:space="preserve">Domanda 3</t>
  </si>
  <si>
    <t xml:space="preserve">Il forum è interessante per vedere cosa è successo ad altri e sentirsi meno soli, ma non spinge le ragazze a scrivere le loro esperienze (molto titubanti)</t>
  </si>
  <si>
    <t xml:space="preserve">Confronto tra pari</t>
  </si>
  <si>
    <t xml:space="preserve">OSS-27</t>
  </si>
  <si>
    <t xml:space="preserve">Alcuni studenti non prendono seriamente l'attività</t>
  </si>
  <si>
    <t xml:space="preserve">Coinvolgimento</t>
  </si>
  <si>
    <t xml:space="preserve">OSS-28</t>
  </si>
  <si>
    <t xml:space="preserve">Difficoltà iniziali a capire l'attività, poi "a gonfie vele"</t>
  </si>
  <si>
    <t xml:space="preserve">N. appunti</t>
  </si>
  <si>
    <t xml:space="preserve">Analisi tematica - dai dati ai bisogni</t>
  </si>
  <si>
    <t xml:space="preserve">Per ogni tema: cosa dicono le fonti, dove i gruppi concordano o divergono, e quale bisogno ne deriva</t>
  </si>
  <si>
    <t xml:space="preserve">Cosa emerge</t>
  </si>
  <si>
    <t xml:space="preserve">Evidenze (codici)</t>
  </si>
  <si>
    <t xml:space="preserve">Convergenza</t>
  </si>
  <si>
    <t xml:space="preserve">Divergenza</t>
  </si>
  <si>
    <t xml:space="preserve">Insight per il progetto</t>
  </si>
  <si>
    <t xml:space="preserve">Bisogno</t>
  </si>
  <si>
    <t xml:space="preserve">T1. Sovrastima delle proprie capacità</t>
  </si>
  <si>
    <t xml:space="preserve">Autovalutazione media 6,6/10 sulle foto e 7/10 sulle chat. Accuratezza 93% ai livelli 0-1, 53% al livello 4; una foto IA del livello 4 non viene riconosciuta da nessuno. La fiducia non cambia con la difficoltà: chi si dichiara più prudente (Team Pasqua) va meglio sui contenuti difficili.</t>
  </si>
  <si>
    <t xml:space="preserve">F0; F1-L4-F3; F1bis-A; TR2-TON, TR2-DIV, TR2-DRE; commenti TON, DIV, DRE</t>
  </si>
  <si>
    <t xml:space="preserve">Tutte le squadre sbagliano almeno una foto del livello 4 e 3 squadre scrivono spontaneamente di essere rimaste sorprese.</t>
  </si>
  <si>
    <t xml:space="preserve">Divo si dichiara più capace degli adulti; Dream Team dice esplicitamente 'No'.</t>
  </si>
  <si>
    <t xml:space="preserve">Il momento di 'scoperta' dell'errore è stato il più potente dell'attività: il prodotto deve farlo vivere, non solo raccontarlo.</t>
  </si>
  <si>
    <t xml:space="preserve">B4</t>
  </si>
  <si>
    <t xml:space="preserve">T2. Indizi visivi poco affidabili</t>
  </si>
  <si>
    <t xml:space="preserve">Gli indizi più usati ('troppo perfetto', sfondo, ritocco) funzionano sulle foto facili ma producono falsi allarmi su foto reali e falsa sicurezza su foto IA ben fatte; la familiarità di un volto aumenta la fiducia.</t>
  </si>
  <si>
    <t xml:space="preserve">Foglio 'Indizi usati'; F1-L2-F1; F1-L1-F3; F1-L3-F3 (BIS)</t>
  </si>
  <si>
    <t xml:space="preserve">Tutti cercano dettagli anomali nell'immagine.</t>
  </si>
  <si>
    <t xml:space="preserve">C'è chi confonde 'ritoccata' e 'generata'.</t>
  </si>
  <si>
    <t xml:space="preserve">Insegnare 'come guardare' non basta: serve spostare l'attenzione dall'immagine al contesto (chi la manda, perché, cosa chiede).</t>
  </si>
  <si>
    <t xml:space="preserve">B4, B6</t>
  </si>
  <si>
    <t xml:space="preserve">T3. Criteri di fiducia fragili</t>
  </si>
  <si>
    <t xml:space="preserve">Ci si fida per amici in comune, storie in evidenza, averlo visto a scuola, 'lo conosco da un po''. Nessuno chiede prove dell'identità; la proposta di incontrarsi viene letta come garanzia.</t>
  </si>
  <si>
    <t xml:space="preserve">TR1-DIV, TR1-PAS, TR1-DRE; OSS-10, OSS-11; CH-TON-C3</t>
  </si>
  <si>
    <t xml:space="preserve">Tutti hanno un criterio di fiducia, quasi sempre basato su segnali sociali.</t>
  </si>
  <si>
    <t xml:space="preserve">Dream Team: fiducia solo a chi si conosce dal vivo.</t>
  </si>
  <si>
    <t xml:space="preserve">I segnali sociali sono esattamente ciò che un adescatore (aiutato dall'IA) può costruire: va reso esplicito e allenato il 'verificare'.</t>
  </si>
  <si>
    <t xml:space="preserve">B6</t>
  </si>
  <si>
    <t xml:space="preserve">T4. Riconoscimento dei segnali nelle chat</t>
  </si>
  <si>
    <t xml:space="preserve">Le richieste esplicite (foto, dati, cambio app, venire da sola, mentire ai genitori) vengono riconosciute bene; i segnali graduali e la manipolazione emotiva ('non ti tratterei mai così', vittimismo) vengono notati tardi.</t>
  </si>
  <si>
    <t xml:space="preserve">F2 (consenso); OSS-01, OSS-04, OSS-05, OSS-07, OSS-12, OSS-13, OSS-16; CH-TON-C1, CH-DRE-C4</t>
  </si>
  <si>
    <t xml:space="preserve">Chat 4 e 5 giudicate sospette quasi da tutti; individuano bene l'escalation finale.</t>
  </si>
  <si>
    <t xml:space="preserve">Chat 1, 2, 3: almeno una squadra le considera non sospette o non sa.</t>
  </si>
  <si>
    <t xml:space="preserve">Il pericolo si riconosce alla fine della conversazione, quando è già avanzata: serve allenare il riconoscimento precoce.</t>
  </si>
  <si>
    <t xml:space="preserve">B3</t>
  </si>
  <si>
    <t xml:space="preserve">T5. Barriera verso gli adulti</t>
  </si>
  <si>
    <t xml:space="preserve">Paura delle conseguenze, del giudizio, di perdere libertà; adulti che reagiscono senza capire; volersela cavare da soli. Si passa da amici, sorelle o direttamente dalla polizia postale.</t>
  </si>
  <si>
    <t xml:space="preserve">TR4 (tutte le squadre); OSS-18, OSS-20, OSS-22</t>
  </si>
  <si>
    <t xml:space="preserve">Tutte le squadre parlano della difficoltà a dirlo ai genitori.</t>
  </si>
  <si>
    <t xml:space="preserve">Team Pasqua si affida agli adulti; un gruppo lo direbbe ai genitori in caso di sospetto (OSS-22).</t>
  </si>
  <si>
    <t xml:space="preserve">Il problema non è sapere che bisogna parlarne, ma riuscire a farlo: serve un passo intermedio che abbassi il costo emotivo.</t>
  </si>
  <si>
    <t xml:space="preserve">T6. Confronto tra pari e anonimato</t>
  </si>
  <si>
    <t xml:space="preserve">Il forum interessa per sentirsi meno soli e imparare dagli altri, ma pochi scriverebbero la propria esperienza; chi accetta i commenti chiede moderazione.</t>
  </si>
  <si>
    <t xml:space="preserve">TR3 (tutte); OSS-26</t>
  </si>
  <si>
    <t xml:space="preserve">Lettura di esperienze altrui: sì per quasi tutti.</t>
  </si>
  <si>
    <t xml:space="preserve">Scrivere/commentare: da 'non condivideremmo' (BIS) a 'manterremmo commenti se moderati' (PAS, DIV).</t>
  </si>
  <si>
    <t xml:space="preserve">Il valore è soprattutto nel leggere: la partecipazione attiva va resa facoltativa e protetta.</t>
  </si>
  <si>
    <t xml:space="preserve">T7. Deepfake 'per scherzo' tra pari</t>
  </si>
  <si>
    <t xml:space="preserve">La foto modificata con l'IA e girata nel gruppo viene spesso letta come scherzo, anche quando la vittima chiede di toglierla; la gravità viene legata alla diffusione (più gruppi, sconosciuti) e non al danno per la persona.</t>
  </si>
  <si>
    <t xml:space="preserve">OSS-23, OSS-24, OSS-25; CH-DRE-C5.1</t>
  </si>
  <si>
    <t xml:space="preserve">C'è una sensibilità di base: tutti riconoscono che 'dipende' e che a un certo punto diventa grave.</t>
  </si>
  <si>
    <t xml:space="preserve">Da 'non si fa mai' a 'è uno scherzo'.</t>
  </si>
  <si>
    <t xml:space="preserve">Manca un criterio condiviso per capire quando lo scherzo diventa violenza e cosa può fare chi assiste.</t>
  </si>
  <si>
    <t xml:space="preserve">B8</t>
  </si>
  <si>
    <t xml:space="preserve">T8. Modalità di apprendimento</t>
  </si>
  <si>
    <t xml:space="preserve">L'attività è piaciuta perché attiva (quiz a livelli, chat da analizzare); chiedono ore più interattive e non 'la solita lezione'; un gruppo cita punti, livelli e sfide con gli amici.</t>
  </si>
  <si>
    <t xml:space="preserve">TR1-TON, TR1-DIV, TR1-BIS; TR2-DRE; OSS-27, OSS-28</t>
  </si>
  <si>
    <t xml:space="preserve">Apprezzamento del formato da tutte le squadre che lo commentano.</t>
  </si>
  <si>
    <t xml:space="preserve">Alcuni studenti non hanno preso sul serio l'attività: il gioco coinvolge ma rischia di banalizzare.</t>
  </si>
  <si>
    <t xml:space="preserve">L'elemento di gioco è un requisito sulla modalità (come) più che un bisogno (cosa): va bilanciato con la serietà del tema.</t>
  </si>
  <si>
    <t xml:space="preserve">B1</t>
  </si>
  <si>
    <t xml:space="preserve">Bisogni consolidati (dettaglio nel documento Word)</t>
  </si>
  <si>
    <t xml:space="preserve">Origine</t>
  </si>
  <si>
    <t xml:space="preserve">Stato</t>
  </si>
  <si>
    <t xml:space="preserve">In breve</t>
  </si>
  <si>
    <t xml:space="preserve">Imparare in modo attivo e coinvolgente, non con la solita lezione</t>
  </si>
  <si>
    <t xml:space="preserve">Bisogno 1 (Gamification)</t>
  </si>
  <si>
    <t xml:space="preserve">Confermato, riformulato</t>
  </si>
  <si>
    <t xml:space="preserve">Imparare facendo (sfide, quiz, livelli) invece che ascoltando</t>
  </si>
  <si>
    <t xml:space="preserve">Imparare dalle esperienze dei coetanei sentendosi protetti e meno soli</t>
  </si>
  <si>
    <t xml:space="preserve">Bisogno 2 (Confronto con coetanei e testimonianze anonime)</t>
  </si>
  <si>
    <t xml:space="preserve">Confermato e ampliato</t>
  </si>
  <si>
    <t xml:space="preserve">Leggere esperienze reali di pari, con anonimato e moderazione</t>
  </si>
  <si>
    <t xml:space="preserve">Riconoscere i segnali dell'adescamento, anche quando arrivano poco alla volta</t>
  </si>
  <si>
    <t xml:space="preserve">Bisogno 3 (Conoscenza dei temi e consapevolezza dei rischi)</t>
  </si>
  <si>
    <t xml:space="preserve">Conoscere tecniche e segnali (insistenza, isolamento, cambio app, escalation)</t>
  </si>
  <si>
    <t xml:space="preserve">Avere un'idea realistica di quanto si è capaci di riconoscere un falso</t>
  </si>
  <si>
    <t xml:space="preserve">Bisogno 4 (Più consapevolezza delle proprie capacità)</t>
  </si>
  <si>
    <t xml:space="preserve">Confermato</t>
  </si>
  <si>
    <t xml:space="preserve">Calibrare la fiducia in sé: i ragazzi si sopravvalutano sui contenuti difficili</t>
  </si>
  <si>
    <t xml:space="preserve">B5</t>
  </si>
  <si>
    <t xml:space="preserve">Sapere cosa fare e a chi rivolgersi quando qualcosa non va</t>
  </si>
  <si>
    <t xml:space="preserve">Bisogno 5 (Aiuto al supporto e contatti)</t>
  </si>
  <si>
    <t xml:space="preserve">Confermato e precisato</t>
  </si>
  <si>
    <t xml:space="preserve">Passi concreti e canali (amici, adulti, polizia postale) al momento giusto</t>
  </si>
  <si>
    <t xml:space="preserve">Verificare chi c'è davvero dall'altra parte con criteri affidabili</t>
  </si>
  <si>
    <t xml:space="preserve">Nuovo (emerso da Fase 2 e appunti)</t>
  </si>
  <si>
    <t xml:space="preserve">Nuovo</t>
  </si>
  <si>
    <t xml:space="preserve">I criteri usati (amici in comune, storie, 'lo conosco da un po'') sono facili da falsificare</t>
  </si>
  <si>
    <t xml:space="preserve">B7</t>
  </si>
  <si>
    <t xml:space="preserve">Poter coinvolgere un adulto di fiducia senza paura di giudizio o di perdere libertà</t>
  </si>
  <si>
    <t xml:space="preserve">Nuovo (emerso da TR4 e Chat 5)</t>
  </si>
  <si>
    <t xml:space="preserve">La barriera verso i genitori è il motivo principale per cui si tace</t>
  </si>
  <si>
    <t xml:space="preserve">Capire quando un contenuto manipolato con l'IA smette di essere uno scherzo</t>
  </si>
  <si>
    <t xml:space="preserve">Nuovo (emerso da Chat 5.1)</t>
  </si>
  <si>
    <t xml:space="preserve">Il deepfake 'per ridere' nel gruppo non viene percepito come violenza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</si>
</sst>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%"/>
    <numFmt numFmtId="168" formatCode="\+0%;\-0%;0%"/>
    <numFmt numFmtId="169" formatCode="\+0.0;\-0.0;0.0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8EEF5"/>
        <bgColor rgb="FFF4F4F2"/>
      </patternFill>
    </fill>
    <fill>
      <patternFill patternType="solid">
        <fgColor rgb="FFF4F4F2"/>
        <bgColor rgb="FFFBEFE3"/>
      </patternFill>
    </fill>
    <fill>
      <patternFill patternType="solid">
        <fgColor rgb="FFFBEFE3"/>
        <bgColor rgb="FFF4F4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 diagonalUp="false" diagonalDown="false">
      <left style="thin">
        <color rgb="FFC9CED6"/>
      </left>
      <right/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8EFD8"/>
          <bgColor rgb="FF000000"/>
        </patternFill>
      </fill>
    </dxf>
    <dxf>
      <fill>
        <patternFill patternType="solid">
          <fgColor rgb="FFF6D5D5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>
          <bgColor rgb="FFD8EFD8"/>
        </patternFill>
      </fill>
    </dxf>
    <dxf>
      <fill>
        <patternFill>
          <bgColor rgb="FFF6D5D5"/>
        </patternFill>
      </fill>
    </dxf>
    <dxf>
      <fill>
        <patternFill>
          <bgColor rgb="FFFBE7C6"/>
        </patternFill>
      </fill>
    </dxf>
    <dxf>
      <fill>
        <patternFill>
          <bgColor rgb="FFFFF4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C2"/>
      <rgbColor rgb="FFE8EEF5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2"/>
      <rgbColor rgb="FFD8EFD8"/>
      <rgbColor rgb="FFFBE7C6"/>
      <rgbColor rgb="FFFBEFE3"/>
      <rgbColor rgb="FFFF99CC"/>
      <rgbColor rgb="FFCC99FF"/>
      <rgbColor rgb="FFF6D5D5"/>
      <rgbColor rgb="FF2A78D6"/>
      <rgbColor rgb="FF33CCCC"/>
      <rgbColor rgb="FF99CC00"/>
      <rgbColor rgb="FFFFCC00"/>
      <rgbColor rgb="FFFF9900"/>
      <rgbColor rgb="FFEB6834"/>
      <rgbColor rgb="FF666666"/>
      <rgbColor rgb="FF888888"/>
      <rgbColor rgb="FF1F3A5F"/>
      <rgbColor rgb="FF1BAF7A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Accuratezza nel quiz foto per livello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Sintesi!B26</c:f>
              <c:strCache>
                <c:ptCount val="1"/>
                <c:pt idx="0">
                  <c:v>Accuratezza</c:v>
                </c:pt>
              </c:strCache>
            </c:strRef>
          </c:tx>
          <c:spPr>
            <a:solidFill>
              <a:srgbClr val="2a78d6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Sintesi!$A$27:$A$31</c:f>
              <c:strCache>
                <c:ptCount val="5"/>
                <c:pt idx="0">
                  <c:v>Livello 0</c:v>
                </c:pt>
                <c:pt idx="1">
                  <c:v>Livello 1</c:v>
                </c:pt>
                <c:pt idx="2">
                  <c:v>Livello 2</c:v>
                </c:pt>
                <c:pt idx="3">
                  <c:v>Livello 3</c:v>
                </c:pt>
                <c:pt idx="4">
                  <c:v>Livello 4</c:v>
                </c:pt>
              </c:strCache>
            </c:strRef>
          </c:cat>
          <c:val>
            <c:numRef>
              <c:f>Sintesi!$B$27:$B$31</c:f>
              <c:numCache>
                <c:formatCode>0%</c:formatCode>
                <c:ptCount val="5"/>
                <c:pt idx="0">
                  <c:v>1</c:v>
                </c:pt>
                <c:pt idx="1">
                  <c:v>0.866666666666667</c:v>
                </c:pt>
                <c:pt idx="2">
                  <c:v>0.8</c:v>
                </c:pt>
                <c:pt idx="3">
                  <c:v>0.857142857142857</c:v>
                </c:pt>
                <c:pt idx="4">
                  <c:v>0.526315789473684</c:v>
                </c:pt>
              </c:numCache>
            </c:numRef>
          </c:val>
        </c:ser>
        <c:gapWidth val="150"/>
        <c:overlap val="0"/>
        <c:axId val="16636149"/>
        <c:axId val="45660854"/>
      </c:barChart>
      <c:catAx>
        <c:axId val="16636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60854"/>
        <c:crosses val="autoZero"/>
        <c:auto val="1"/>
        <c:lblAlgn val="ctr"/>
        <c:lblOffset val="100"/>
        <c:noMultiLvlLbl val="0"/>
      </c:catAx>
      <c:valAx>
        <c:axId val="4566085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Risposte corrette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361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Autovalutazione vs accuratezza reale (quiz foto)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Sintesi!C17</c:f>
              <c:strCache>
                <c:ptCount val="1"/>
                <c:pt idx="0">
                  <c:v>Autovalutazione in %</c:v>
                </c:pt>
              </c:strCache>
            </c:strRef>
          </c:tx>
          <c:spPr>
            <a:solidFill>
              <a:srgbClr val="2a78d6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Sintesi!$A$18:$A$22</c:f>
              <c:strCache>
                <c:ptCount val="5"/>
                <c:pt idx="0">
                  <c:v>Tontony</c:v>
                </c:pt>
                <c:pt idx="1">
                  <c:v>Divo</c:v>
                </c:pt>
                <c:pt idx="2">
                  <c:v>Biscotto</c:v>
                </c:pt>
                <c:pt idx="3">
                  <c:v>Team Pasqua</c:v>
                </c:pt>
                <c:pt idx="4">
                  <c:v>Dream Team</c:v>
                </c:pt>
              </c:strCache>
            </c:strRef>
          </c:cat>
          <c:val>
            <c:numRef>
              <c:f>Sintesi!$C$18:$C$22</c:f>
              <c:numCache>
                <c:formatCode>0%</c:formatCode>
                <c:ptCount val="5"/>
                <c:pt idx="0">
                  <c:v>0.68</c:v>
                </c:pt>
                <c:pt idx="1">
                  <c:v>0.7</c:v>
                </c:pt>
                <c:pt idx="2">
                  <c:v>0.65</c:v>
                </c:pt>
                <c:pt idx="3">
                  <c:v>0.6</c:v>
                </c:pt>
                <c:pt idx="4">
                  <c:v>0.675</c:v>
                </c:pt>
              </c:numCache>
            </c:numRef>
          </c:val>
        </c:ser>
        <c:ser>
          <c:idx val="1"/>
          <c:order val="1"/>
          <c:tx>
            <c:strRef>
              <c:f>Sintesi!D17</c:f>
              <c:strCache>
                <c:ptCount val="1"/>
                <c:pt idx="0">
                  <c:v>Accuratezza quiz (tutti i livelli)</c:v>
                </c:pt>
              </c:strCache>
            </c:strRef>
          </c:tx>
          <c:spPr>
            <a:solidFill>
              <a:srgbClr val="eb6834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Sintesi!$A$18:$A$22</c:f>
              <c:strCache>
                <c:ptCount val="5"/>
                <c:pt idx="0">
                  <c:v>Tontony</c:v>
                </c:pt>
                <c:pt idx="1">
                  <c:v>Divo</c:v>
                </c:pt>
                <c:pt idx="2">
                  <c:v>Biscotto</c:v>
                </c:pt>
                <c:pt idx="3">
                  <c:v>Team Pasqua</c:v>
                </c:pt>
                <c:pt idx="4">
                  <c:v>Dream Team</c:v>
                </c:pt>
              </c:strCache>
            </c:strRef>
          </c:cat>
          <c:val>
            <c:numRef>
              <c:f>Sintesi!$D$18:$D$22</c:f>
              <c:numCache>
                <c:formatCode>0%</c:formatCode>
                <c:ptCount val="5"/>
                <c:pt idx="0">
                  <c:v>0.866666666666667</c:v>
                </c:pt>
                <c:pt idx="1">
                  <c:v>0.8125</c:v>
                </c:pt>
                <c:pt idx="2">
                  <c:v>0.6875</c:v>
                </c:pt>
                <c:pt idx="3">
                  <c:v>0.8125</c:v>
                </c:pt>
                <c:pt idx="4">
                  <c:v>0.8</c:v>
                </c:pt>
              </c:numCache>
            </c:numRef>
          </c:val>
        </c:ser>
        <c:ser>
          <c:idx val="2"/>
          <c:order val="2"/>
          <c:tx>
            <c:strRef>
              <c:f>Sintesi!E17</c:f>
              <c:strCache>
                <c:ptCount val="1"/>
                <c:pt idx="0">
                  <c:v>Accuratezza livello 4</c:v>
                </c:pt>
              </c:strCache>
            </c:strRef>
          </c:tx>
          <c:spPr>
            <a:solidFill>
              <a:srgbClr val="1baf7a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Sintesi!$A$18:$A$22</c:f>
              <c:strCache>
                <c:ptCount val="5"/>
                <c:pt idx="0">
                  <c:v>Tontony</c:v>
                </c:pt>
                <c:pt idx="1">
                  <c:v>Divo</c:v>
                </c:pt>
                <c:pt idx="2">
                  <c:v>Biscotto</c:v>
                </c:pt>
                <c:pt idx="3">
                  <c:v>Team Pasqua</c:v>
                </c:pt>
                <c:pt idx="4">
                  <c:v>Dream Team</c:v>
                </c:pt>
              </c:strCache>
            </c:strRef>
          </c:cat>
          <c:val>
            <c:numRef>
              <c:f>Sintesi!$E$18:$E$22</c:f>
              <c:numCache>
                <c:formatCode>0%</c:formatCode>
                <c:ptCount val="5"/>
                <c:pt idx="0">
                  <c:v>0.666666666666667</c:v>
                </c:pt>
                <c:pt idx="1">
                  <c:v>0.5</c:v>
                </c:pt>
                <c:pt idx="2">
                  <c:v>0.25</c:v>
                </c:pt>
                <c:pt idx="3">
                  <c:v>0.75</c:v>
                </c:pt>
                <c:pt idx="4">
                  <c:v>0.5</c:v>
                </c:pt>
              </c:numCache>
            </c:numRef>
          </c:val>
        </c:ser>
        <c:gapWidth val="150"/>
        <c:overlap val="0"/>
        <c:axId val="91611279"/>
        <c:axId val="21482754"/>
      </c:barChart>
      <c:catAx>
        <c:axId val="9161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82754"/>
        <c:crosses val="autoZero"/>
        <c:auto val="1"/>
        <c:lblAlgn val="ctr"/>
        <c:lblOffset val="100"/>
        <c:noMultiLvlLbl val="0"/>
      </c:catAx>
      <c:valAx>
        <c:axId val="21482754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11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255960</xdr:colOff>
      <xdr:row>16</xdr:row>
      <xdr:rowOff>81000</xdr:rowOff>
    </xdr:to>
    <xdr:graphicFrame>
      <xdr:nvGraphicFramePr>
        <xdr:cNvPr id="0" name="Chart 1"/>
        <xdr:cNvGraphicFramePr/>
      </xdr:nvGraphicFramePr>
      <xdr:xfrm>
        <a:off x="991548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126360</xdr:rowOff>
    </xdr:from>
    <xdr:to>
      <xdr:col>16</xdr:col>
      <xdr:colOff>255960</xdr:colOff>
      <xdr:row>28</xdr:row>
      <xdr:rowOff>75240</xdr:rowOff>
    </xdr:to>
    <xdr:graphicFrame>
      <xdr:nvGraphicFramePr>
        <xdr:cNvPr id="1" name="Chart 2"/>
        <xdr:cNvGraphicFramePr/>
      </xdr:nvGraphicFramePr>
      <xdr:xfrm>
        <a:off x="991548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5" customFormat="false" ht="15" hidden="false" customHeight="false" outlineLevel="0" collapsed="false">
      <c r="A15" s="5" t="s">
        <v>20</v>
      </c>
      <c r="B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</row>
    <row r="17" customFormat="false" ht="1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7</v>
      </c>
    </row>
    <row r="19" customFormat="false" ht="15" hidden="false" customHeight="false" outlineLevel="0" collapsed="false">
      <c r="A19" s="5" t="s">
        <v>27</v>
      </c>
      <c r="B19" s="6" t="s">
        <v>28</v>
      </c>
    </row>
    <row r="20" customFormat="false" ht="15" hidden="false" customHeight="false" outlineLevel="0" collapsed="false">
      <c r="A20" s="5" t="s">
        <v>29</v>
      </c>
      <c r="B20" s="6" t="s">
        <v>30</v>
      </c>
    </row>
    <row r="22" customFormat="false" ht="15" hidden="false" customHeight="false" outlineLevel="0" collapsed="false">
      <c r="A22" s="3" t="s">
        <v>31</v>
      </c>
    </row>
    <row r="23" customFormat="false" ht="15" hidden="false" customHeight="false" outlineLevel="0" collapsed="false">
      <c r="A23" s="7" t="s">
        <v>32</v>
      </c>
      <c r="B23" s="6" t="s">
        <v>33</v>
      </c>
    </row>
    <row r="24" customFormat="false" ht="15" hidden="false" customHeight="false" outlineLevel="0" collapsed="false">
      <c r="A24" s="7" t="s">
        <v>32</v>
      </c>
      <c r="B24" s="6" t="s">
        <v>34</v>
      </c>
    </row>
    <row r="25" customFormat="false" ht="15" hidden="false" customHeight="false" outlineLevel="0" collapsed="false">
      <c r="A25" s="7" t="s">
        <v>32</v>
      </c>
      <c r="B25" s="6" t="s">
        <v>35</v>
      </c>
    </row>
    <row r="26" customFormat="false" ht="15" hidden="false" customHeight="false" outlineLevel="0" collapsed="false">
      <c r="A26" s="7" t="s">
        <v>32</v>
      </c>
      <c r="B26" s="6" t="s">
        <v>36</v>
      </c>
    </row>
    <row r="27" customFormat="false" ht="15" hidden="false" customHeight="false" outlineLevel="0" collapsed="false">
      <c r="A27" s="7" t="s">
        <v>32</v>
      </c>
      <c r="B27" s="6" t="s">
        <v>37</v>
      </c>
    </row>
    <row r="28" customFormat="false" ht="15" hidden="false" customHeight="false" outlineLevel="0" collapsed="false">
      <c r="A28" s="7" t="s">
        <v>32</v>
      </c>
      <c r="B28" s="6" t="s">
        <v>38</v>
      </c>
    </row>
    <row r="30" customFormat="false" ht="15" hidden="false" customHeight="false" outlineLevel="0" collapsed="false">
      <c r="A30" s="3" t="s">
        <v>39</v>
      </c>
    </row>
    <row r="31" customFormat="false" ht="15" hidden="false" customHeight="false" outlineLevel="0" collapsed="false">
      <c r="A31" s="4" t="s">
        <v>40</v>
      </c>
      <c r="B31" s="4" t="s">
        <v>4</v>
      </c>
    </row>
    <row r="32" customFormat="false" ht="15" hidden="false" customHeight="false" outlineLevel="0" collapsed="false">
      <c r="A32" s="5" t="s">
        <v>41</v>
      </c>
      <c r="B32" s="6" t="s">
        <v>42</v>
      </c>
    </row>
    <row r="33" customFormat="false" ht="15" hidden="false" customHeight="false" outlineLevel="0" collapsed="false">
      <c r="A33" s="5" t="s">
        <v>43</v>
      </c>
      <c r="B33" s="6" t="s">
        <v>44</v>
      </c>
    </row>
    <row r="34" customFormat="false" ht="15" hidden="false" customHeight="false" outlineLevel="0" collapsed="false">
      <c r="A34" s="5" t="s">
        <v>45</v>
      </c>
      <c r="B34" s="6" t="s">
        <v>46</v>
      </c>
    </row>
    <row r="35" customFormat="false" ht="15" hidden="false" customHeight="false" outlineLevel="0" collapsed="false">
      <c r="A35" s="5" t="s">
        <v>47</v>
      </c>
      <c r="B35" s="6" t="s">
        <v>48</v>
      </c>
    </row>
    <row r="36" customFormat="false" ht="15" hidden="false" customHeight="false" outlineLevel="0" collapsed="false">
      <c r="A36" s="5" t="s">
        <v>49</v>
      </c>
      <c r="B36" s="6" t="s">
        <v>50</v>
      </c>
    </row>
    <row r="37" customFormat="false" ht="15" hidden="false" customHeight="false" outlineLevel="0" collapsed="false">
      <c r="A37" s="5" t="s">
        <v>51</v>
      </c>
      <c r="B37" s="6" t="s">
        <v>52</v>
      </c>
    </row>
    <row r="38" customFormat="false" ht="15" hidden="false" customHeight="false" outlineLevel="0" collapsed="false">
      <c r="A38" s="5" t="s">
        <v>53</v>
      </c>
      <c r="B38" s="6" t="s">
        <v>54</v>
      </c>
    </row>
    <row r="39" customFormat="false" ht="15" hidden="false" customHeight="false" outlineLevel="0" collapsed="false">
      <c r="A39" s="5" t="s">
        <v>55</v>
      </c>
      <c r="B39" s="6" t="s">
        <v>56</v>
      </c>
    </row>
    <row r="40" customFormat="false" ht="15" hidden="false" customHeight="false" outlineLevel="0" collapsed="false">
      <c r="A40" s="5" t="s">
        <v>57</v>
      </c>
      <c r="B40" s="6" t="s">
        <v>58</v>
      </c>
    </row>
    <row r="41" customFormat="false" ht="15" hidden="false" customHeight="false" outlineLevel="0" collapsed="false">
      <c r="A41" s="5" t="s">
        <v>59</v>
      </c>
      <c r="B41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</row>
    <row r="5" customFormat="false" ht="15" hidden="false" customHeight="false" outlineLevel="0" collapsed="false">
      <c r="A5" s="4" t="s">
        <v>64</v>
      </c>
      <c r="B5" s="4" t="s">
        <v>65</v>
      </c>
    </row>
    <row r="6" customFormat="false" ht="15" hidden="false" customHeight="false" outlineLevel="0" collapsed="false">
      <c r="A6" s="6" t="s">
        <v>66</v>
      </c>
      <c r="B6" s="8" t="n">
        <f aca="false">'F0 Autovalutazione'!B35</f>
        <v>23</v>
      </c>
    </row>
    <row r="7" customFormat="false" ht="15" hidden="false" customHeight="false" outlineLevel="0" collapsed="false">
      <c r="A7" s="6" t="s">
        <v>67</v>
      </c>
      <c r="B7" s="9" t="n">
        <f aca="false">'F0 Autovalutazione'!C35</f>
        <v>6.60869565217391</v>
      </c>
    </row>
    <row r="8" customFormat="false" ht="23.85" hidden="false" customHeight="false" outlineLevel="0" collapsed="false">
      <c r="A8" s="6" t="s">
        <v>68</v>
      </c>
      <c r="B8" s="9" t="n">
        <f aca="false">'F0 Autovalutazione'!D35</f>
        <v>7</v>
      </c>
    </row>
    <row r="9" customFormat="false" ht="15" hidden="false" customHeight="false" outlineLevel="0" collapsed="false">
      <c r="A9" s="6" t="s">
        <v>69</v>
      </c>
      <c r="B9" s="10" t="n">
        <f aca="false">'F1 Foto (dati)'!E93</f>
        <v>0.794871794871795</v>
      </c>
    </row>
    <row r="10" customFormat="false" ht="15" hidden="false" customHeight="false" outlineLevel="0" collapsed="false">
      <c r="A10" s="6" t="s">
        <v>70</v>
      </c>
      <c r="B10" s="10" t="n">
        <f aca="false">('F1 Foto (dati)'!D97+'F1 Foto (dati)'!D98)/('F1 Foto (dati)'!C97+'F1 Foto (dati)'!C98)</f>
        <v>0.933333333333333</v>
      </c>
    </row>
    <row r="11" customFormat="false" ht="15" hidden="false" customHeight="false" outlineLevel="0" collapsed="false">
      <c r="A11" s="6" t="s">
        <v>71</v>
      </c>
      <c r="B11" s="10" t="n">
        <f aca="false">'F1 Foto (dati)'!E101</f>
        <v>0.526315789473684</v>
      </c>
    </row>
    <row r="12" customFormat="false" ht="15" hidden="false" customHeight="false" outlineLevel="0" collapsed="false">
      <c r="A12" s="6" t="s">
        <v>72</v>
      </c>
      <c r="B12" s="8" t="n">
        <f aca="false">'F1 Foto (dati)'!G93</f>
        <v>11</v>
      </c>
    </row>
    <row r="13" customFormat="false" ht="15" hidden="false" customHeight="false" outlineLevel="0" collapsed="false">
      <c r="A13" s="6" t="s">
        <v>73</v>
      </c>
      <c r="B13" s="8" t="n">
        <f aca="false">'F1 Foto (dati)'!F93</f>
        <v>5</v>
      </c>
    </row>
    <row r="14" customFormat="false" ht="15" hidden="false" customHeight="false" outlineLevel="0" collapsed="false">
      <c r="A14" s="6" t="s">
        <v>74</v>
      </c>
      <c r="B14" s="8" t="n">
        <f aca="false">COUNTIF('F2 Chat'!G5:G9,5)</f>
        <v>0</v>
      </c>
    </row>
    <row r="16" customFormat="false" ht="15" hidden="false" customHeight="false" outlineLevel="0" collapsed="false">
      <c r="A16" s="3" t="s">
        <v>75</v>
      </c>
    </row>
    <row r="17" customFormat="false" ht="23.85" hidden="false" customHeight="false" outlineLevel="0" collapsed="false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71</v>
      </c>
      <c r="F17" s="4" t="s">
        <v>80</v>
      </c>
    </row>
    <row r="18" customFormat="false" ht="15" hidden="false" customHeight="false" outlineLevel="0" collapsed="false">
      <c r="A18" s="5" t="s">
        <v>81</v>
      </c>
      <c r="B18" s="11" t="n">
        <f aca="false">'F0 Autovalutazione'!C30</f>
        <v>6.8</v>
      </c>
      <c r="C18" s="12" t="n">
        <f aca="false">B18/10</f>
        <v>0.68</v>
      </c>
      <c r="D18" s="12" t="n">
        <f aca="false">'F1 Foto (dati)'!E88</f>
        <v>0.866666666666667</v>
      </c>
      <c r="E18" s="12" t="n">
        <f aca="false">COUNTIFS('F1 Foto (dati)'!$B$5:$B$84,A18,'F1 Foto (dati)'!$C$5:$C$84,"L4",'F1 Foto (dati)'!$G$5:$G$84,1)/COUNTIFS('F1 Foto (dati)'!$B$5:$B$84,A18,'F1 Foto (dati)'!$C$5:$C$84,"L4",'F1 Foto (dati)'!$G$5:$G$84,"&lt;&gt;n.v.")</f>
        <v>0.666666666666667</v>
      </c>
      <c r="F18" s="13" t="n">
        <f aca="false">E18-C18</f>
        <v>-0.0133333333333333</v>
      </c>
    </row>
    <row r="19" customFormat="false" ht="15" hidden="false" customHeight="false" outlineLevel="0" collapsed="false">
      <c r="A19" s="5" t="s">
        <v>82</v>
      </c>
      <c r="B19" s="11" t="n">
        <f aca="false">'F0 Autovalutazione'!C31</f>
        <v>7</v>
      </c>
      <c r="C19" s="12" t="n">
        <f aca="false">B19/10</f>
        <v>0.7</v>
      </c>
      <c r="D19" s="12" t="n">
        <f aca="false">'F1 Foto (dati)'!E89</f>
        <v>0.8125</v>
      </c>
      <c r="E19" s="12" t="n">
        <f aca="false">COUNTIFS('F1 Foto (dati)'!$B$5:$B$84,A19,'F1 Foto (dati)'!$C$5:$C$84,"L4",'F1 Foto (dati)'!$G$5:$G$84,1)/COUNTIFS('F1 Foto (dati)'!$B$5:$B$84,A19,'F1 Foto (dati)'!$C$5:$C$84,"L4",'F1 Foto (dati)'!$G$5:$G$84,"&lt;&gt;n.v.")</f>
        <v>0.5</v>
      </c>
      <c r="F19" s="13" t="n">
        <f aca="false">E19-C19</f>
        <v>-0.2</v>
      </c>
    </row>
    <row r="20" customFormat="false" ht="15" hidden="false" customHeight="false" outlineLevel="0" collapsed="false">
      <c r="A20" s="5" t="s">
        <v>83</v>
      </c>
      <c r="B20" s="11" t="n">
        <f aca="false">'F0 Autovalutazione'!C32</f>
        <v>6.5</v>
      </c>
      <c r="C20" s="12" t="n">
        <f aca="false">B20/10</f>
        <v>0.65</v>
      </c>
      <c r="D20" s="12" t="n">
        <f aca="false">'F1 Foto (dati)'!E90</f>
        <v>0.6875</v>
      </c>
      <c r="E20" s="12" t="n">
        <f aca="false">COUNTIFS('F1 Foto (dati)'!$B$5:$B$84,A20,'F1 Foto (dati)'!$C$5:$C$84,"L4",'F1 Foto (dati)'!$G$5:$G$84,1)/COUNTIFS('F1 Foto (dati)'!$B$5:$B$84,A20,'F1 Foto (dati)'!$C$5:$C$84,"L4",'F1 Foto (dati)'!$G$5:$G$84,"&lt;&gt;n.v.")</f>
        <v>0.25</v>
      </c>
      <c r="F20" s="13" t="n">
        <f aca="false">E20-C20</f>
        <v>-0.4</v>
      </c>
    </row>
    <row r="21" customFormat="false" ht="15" hidden="false" customHeight="false" outlineLevel="0" collapsed="false">
      <c r="A21" s="5" t="s">
        <v>84</v>
      </c>
      <c r="B21" s="11" t="n">
        <f aca="false">'F0 Autovalutazione'!C33</f>
        <v>6</v>
      </c>
      <c r="C21" s="12" t="n">
        <f aca="false">B21/10</f>
        <v>0.6</v>
      </c>
      <c r="D21" s="12" t="n">
        <f aca="false">'F1 Foto (dati)'!E91</f>
        <v>0.8125</v>
      </c>
      <c r="E21" s="12" t="n">
        <f aca="false">COUNTIFS('F1 Foto (dati)'!$B$5:$B$84,A21,'F1 Foto (dati)'!$C$5:$C$84,"L4",'F1 Foto (dati)'!$G$5:$G$84,1)/COUNTIFS('F1 Foto (dati)'!$B$5:$B$84,A21,'F1 Foto (dati)'!$C$5:$C$84,"L4",'F1 Foto (dati)'!$G$5:$G$84,"&lt;&gt;n.v.")</f>
        <v>0.75</v>
      </c>
      <c r="F21" s="13" t="n">
        <f aca="false">E21-C21</f>
        <v>0.15</v>
      </c>
    </row>
    <row r="22" customFormat="false" ht="15" hidden="false" customHeight="false" outlineLevel="0" collapsed="false">
      <c r="A22" s="5" t="s">
        <v>85</v>
      </c>
      <c r="B22" s="11" t="n">
        <f aca="false">'F0 Autovalutazione'!C34</f>
        <v>6.75</v>
      </c>
      <c r="C22" s="12" t="n">
        <f aca="false">B22/10</f>
        <v>0.675</v>
      </c>
      <c r="D22" s="12" t="n">
        <f aca="false">'F1 Foto (dati)'!E92</f>
        <v>0.8</v>
      </c>
      <c r="E22" s="12" t="n">
        <f aca="false">COUNTIFS('F1 Foto (dati)'!$B$5:$B$84,A22,'F1 Foto (dati)'!$C$5:$C$84,"L4",'F1 Foto (dati)'!$G$5:$G$84,1)/COUNTIFS('F1 Foto (dati)'!$B$5:$B$84,A22,'F1 Foto (dati)'!$C$5:$C$84,"L4",'F1 Foto (dati)'!$G$5:$G$84,"&lt;&gt;n.v.")</f>
        <v>0.5</v>
      </c>
      <c r="F22" s="13" t="n">
        <f aca="false">E22-C22</f>
        <v>-0.175</v>
      </c>
    </row>
    <row r="23" customFormat="false" ht="57.75" hidden="false" customHeight="true" outlineLevel="0" collapsed="false">
      <c r="A23" s="14" t="s">
        <v>86</v>
      </c>
      <c r="B23" s="15" t="s">
        <v>87</v>
      </c>
      <c r="C23" s="15"/>
      <c r="D23" s="15"/>
      <c r="E23" s="15"/>
      <c r="F23" s="15"/>
    </row>
    <row r="25" customFormat="false" ht="15" hidden="false" customHeight="false" outlineLevel="0" collapsed="false">
      <c r="A25" s="3" t="s">
        <v>88</v>
      </c>
    </row>
    <row r="26" customFormat="false" ht="15" hidden="false" customHeight="false" outlineLevel="0" collapsed="false">
      <c r="A26" s="4" t="s">
        <v>89</v>
      </c>
      <c r="B26" s="4" t="s">
        <v>90</v>
      </c>
    </row>
    <row r="27" customFormat="false" ht="23.85" hidden="false" customHeight="false" outlineLevel="0" collapsed="false">
      <c r="A27" s="6" t="s">
        <v>91</v>
      </c>
      <c r="B27" s="12" t="n">
        <f aca="false">'F1 Foto (dati)'!E97</f>
        <v>1</v>
      </c>
      <c r="C27" s="14" t="s">
        <v>92</v>
      </c>
    </row>
    <row r="28" customFormat="false" ht="15" hidden="false" customHeight="false" outlineLevel="0" collapsed="false">
      <c r="A28" s="6" t="s">
        <v>93</v>
      </c>
      <c r="B28" s="12" t="n">
        <f aca="false">'F1 Foto (dati)'!E98</f>
        <v>0.866666666666667</v>
      </c>
      <c r="C28" s="14" t="s">
        <v>94</v>
      </c>
    </row>
    <row r="29" customFormat="false" ht="15" hidden="false" customHeight="false" outlineLevel="0" collapsed="false">
      <c r="A29" s="6" t="s">
        <v>95</v>
      </c>
      <c r="B29" s="12" t="n">
        <f aca="false">'F1 Foto (dati)'!E99</f>
        <v>0.8</v>
      </c>
      <c r="C29" s="14" t="s">
        <v>96</v>
      </c>
    </row>
    <row r="30" customFormat="false" ht="15" hidden="false" customHeight="false" outlineLevel="0" collapsed="false">
      <c r="A30" s="6" t="s">
        <v>97</v>
      </c>
      <c r="B30" s="12" t="n">
        <f aca="false">'F1 Foto (dati)'!E100</f>
        <v>0.857142857142857</v>
      </c>
      <c r="C30" s="14" t="s">
        <v>98</v>
      </c>
    </row>
    <row r="31" customFormat="false" ht="15" hidden="false" customHeight="false" outlineLevel="0" collapsed="false">
      <c r="A31" s="6" t="s">
        <v>99</v>
      </c>
      <c r="B31" s="12" t="n">
        <f aca="false">'F1 Foto (dati)'!E101</f>
        <v>0.526315789473684</v>
      </c>
      <c r="C31" s="14" t="s">
        <v>100</v>
      </c>
    </row>
    <row r="33" customFormat="false" ht="15" hidden="false" customHeight="false" outlineLevel="0" collapsed="false">
      <c r="A33" s="3" t="s">
        <v>101</v>
      </c>
    </row>
    <row r="34" customFormat="false" ht="181.5" hidden="false" customHeight="true" outlineLevel="0" collapsed="false">
      <c r="A34" s="16" t="s">
        <v>102</v>
      </c>
      <c r="B34" s="17" t="s">
        <v>103</v>
      </c>
      <c r="C34" s="17"/>
      <c r="D34" s="17"/>
      <c r="E34" s="17"/>
      <c r="F34" s="17"/>
    </row>
    <row r="35" customFormat="false" ht="165.75" hidden="false" customHeight="true" outlineLevel="0" collapsed="false">
      <c r="A35" s="16" t="s">
        <v>104</v>
      </c>
      <c r="B35" s="17" t="s">
        <v>105</v>
      </c>
      <c r="C35" s="17"/>
      <c r="D35" s="17"/>
      <c r="E35" s="17"/>
      <c r="F35" s="17"/>
    </row>
    <row r="36" customFormat="false" ht="165.75" hidden="false" customHeight="true" outlineLevel="0" collapsed="false">
      <c r="A36" s="16" t="s">
        <v>106</v>
      </c>
      <c r="B36" s="17" t="s">
        <v>107</v>
      </c>
      <c r="C36" s="17"/>
      <c r="D36" s="17"/>
      <c r="E36" s="17"/>
      <c r="F36" s="17"/>
    </row>
    <row r="37" customFormat="false" ht="150" hidden="false" customHeight="true" outlineLevel="0" collapsed="false">
      <c r="A37" s="16" t="s">
        <v>108</v>
      </c>
      <c r="B37" s="17" t="s">
        <v>109</v>
      </c>
      <c r="C37" s="17"/>
      <c r="D37" s="17"/>
      <c r="E37" s="17"/>
      <c r="F37" s="17"/>
    </row>
  </sheetData>
  <mergeCells count="5">
    <mergeCell ref="B23:F23"/>
    <mergeCell ref="B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22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110</v>
      </c>
    </row>
    <row r="4" customFormat="false" ht="23.85" hidden="false" customHeight="false" outlineLevel="0" collapsed="false">
      <c r="A4" s="4" t="s">
        <v>76</v>
      </c>
      <c r="B4" s="4" t="s">
        <v>111</v>
      </c>
      <c r="C4" s="4" t="s">
        <v>112</v>
      </c>
      <c r="D4" s="4" t="s">
        <v>113</v>
      </c>
      <c r="E4" s="4" t="s">
        <v>114</v>
      </c>
    </row>
    <row r="5" customFormat="false" ht="15" hidden="false" customHeight="false" outlineLevel="0" collapsed="false">
      <c r="A5" s="6" t="s">
        <v>81</v>
      </c>
      <c r="B5" s="7" t="s">
        <v>115</v>
      </c>
      <c r="C5" s="18" t="n">
        <v>7</v>
      </c>
      <c r="D5" s="18" t="n">
        <v>8</v>
      </c>
      <c r="E5" s="6"/>
    </row>
    <row r="6" customFormat="false" ht="15" hidden="false" customHeight="false" outlineLevel="0" collapsed="false">
      <c r="A6" s="6" t="s">
        <v>81</v>
      </c>
      <c r="B6" s="7" t="s">
        <v>116</v>
      </c>
      <c r="C6" s="18" t="n">
        <v>6</v>
      </c>
      <c r="D6" s="18" t="n">
        <v>8</v>
      </c>
      <c r="E6" s="6"/>
    </row>
    <row r="7" customFormat="false" ht="15" hidden="false" customHeight="false" outlineLevel="0" collapsed="false">
      <c r="A7" s="6" t="s">
        <v>81</v>
      </c>
      <c r="B7" s="7" t="s">
        <v>117</v>
      </c>
      <c r="C7" s="18" t="n">
        <v>6</v>
      </c>
      <c r="D7" s="18" t="n">
        <v>7</v>
      </c>
      <c r="E7" s="6"/>
    </row>
    <row r="8" customFormat="false" ht="15" hidden="false" customHeight="false" outlineLevel="0" collapsed="false">
      <c r="A8" s="6" t="s">
        <v>81</v>
      </c>
      <c r="B8" s="7" t="s">
        <v>118</v>
      </c>
      <c r="C8" s="18" t="n">
        <v>7</v>
      </c>
      <c r="D8" s="18" t="n">
        <v>9</v>
      </c>
      <c r="E8" s="6"/>
    </row>
    <row r="9" customFormat="false" ht="15" hidden="false" customHeight="false" outlineLevel="0" collapsed="false">
      <c r="A9" s="6" t="s">
        <v>81</v>
      </c>
      <c r="B9" s="7" t="s">
        <v>119</v>
      </c>
      <c r="C9" s="18" t="n">
        <v>8</v>
      </c>
      <c r="D9" s="18" t="n">
        <v>8</v>
      </c>
      <c r="E9" s="6"/>
    </row>
    <row r="10" customFormat="false" ht="15" hidden="false" customHeight="false" outlineLevel="0" collapsed="false">
      <c r="A10" s="6" t="s">
        <v>82</v>
      </c>
      <c r="B10" s="7" t="s">
        <v>115</v>
      </c>
      <c r="C10" s="18" t="n">
        <v>7</v>
      </c>
      <c r="D10" s="18" t="n">
        <v>8</v>
      </c>
      <c r="E10" s="6"/>
    </row>
    <row r="11" customFormat="false" ht="15" hidden="false" customHeight="false" outlineLevel="0" collapsed="false">
      <c r="A11" s="6" t="s">
        <v>82</v>
      </c>
      <c r="B11" s="7" t="s">
        <v>116</v>
      </c>
      <c r="C11" s="18" t="n">
        <v>7</v>
      </c>
      <c r="D11" s="18" t="n">
        <v>8</v>
      </c>
      <c r="E11" s="6"/>
    </row>
    <row r="12" customFormat="false" ht="15" hidden="false" customHeight="false" outlineLevel="0" collapsed="false">
      <c r="A12" s="6" t="s">
        <v>82</v>
      </c>
      <c r="B12" s="7" t="s">
        <v>117</v>
      </c>
      <c r="C12" s="18" t="n">
        <v>7</v>
      </c>
      <c r="D12" s="18" t="n">
        <v>7</v>
      </c>
      <c r="E12" s="6"/>
    </row>
    <row r="13" customFormat="false" ht="15" hidden="false" customHeight="false" outlineLevel="0" collapsed="false">
      <c r="A13" s="6" t="s">
        <v>82</v>
      </c>
      <c r="B13" s="7" t="s">
        <v>118</v>
      </c>
      <c r="C13" s="18" t="n">
        <v>8</v>
      </c>
      <c r="D13" s="18" t="n">
        <v>7</v>
      </c>
      <c r="E13" s="6"/>
    </row>
    <row r="14" customFormat="false" ht="15" hidden="false" customHeight="false" outlineLevel="0" collapsed="false">
      <c r="A14" s="6" t="s">
        <v>82</v>
      </c>
      <c r="B14" s="7" t="s">
        <v>119</v>
      </c>
      <c r="C14" s="18" t="n">
        <v>6</v>
      </c>
      <c r="D14" s="18" t="n">
        <v>7</v>
      </c>
      <c r="E14" s="6"/>
    </row>
    <row r="15" customFormat="false" ht="15" hidden="false" customHeight="false" outlineLevel="0" collapsed="false">
      <c r="A15" s="6" t="s">
        <v>83</v>
      </c>
      <c r="B15" s="7" t="s">
        <v>115</v>
      </c>
      <c r="C15" s="18" t="n">
        <v>7</v>
      </c>
      <c r="D15" s="18" t="n">
        <v>7</v>
      </c>
      <c r="E15" s="6"/>
    </row>
    <row r="16" customFormat="false" ht="15" hidden="false" customHeight="false" outlineLevel="0" collapsed="false">
      <c r="A16" s="6" t="s">
        <v>83</v>
      </c>
      <c r="B16" s="7" t="s">
        <v>116</v>
      </c>
      <c r="C16" s="18" t="n">
        <v>7</v>
      </c>
      <c r="D16" s="18" t="n">
        <v>8</v>
      </c>
      <c r="E16" s="6"/>
    </row>
    <row r="17" customFormat="false" ht="15" hidden="false" customHeight="false" outlineLevel="0" collapsed="false">
      <c r="A17" s="6" t="s">
        <v>83</v>
      </c>
      <c r="B17" s="7" t="s">
        <v>117</v>
      </c>
      <c r="C17" s="18" t="n">
        <v>6</v>
      </c>
      <c r="D17" s="18" t="n">
        <v>9</v>
      </c>
      <c r="E17" s="6"/>
    </row>
    <row r="18" customFormat="false" ht="15" hidden="false" customHeight="false" outlineLevel="0" collapsed="false">
      <c r="A18" s="6" t="s">
        <v>83</v>
      </c>
      <c r="B18" s="7" t="s">
        <v>118</v>
      </c>
      <c r="C18" s="18" t="n">
        <v>6</v>
      </c>
      <c r="D18" s="18" t="n">
        <v>8</v>
      </c>
      <c r="E18" s="6"/>
    </row>
    <row r="19" customFormat="false" ht="15" hidden="false" customHeight="false" outlineLevel="0" collapsed="false">
      <c r="A19" s="6" t="s">
        <v>84</v>
      </c>
      <c r="B19" s="7" t="s">
        <v>115</v>
      </c>
      <c r="C19" s="18" t="n">
        <v>6</v>
      </c>
      <c r="D19" s="18" t="n">
        <v>6</v>
      </c>
      <c r="E19" s="6"/>
    </row>
    <row r="20" customFormat="false" ht="15" hidden="false" customHeight="false" outlineLevel="0" collapsed="false">
      <c r="A20" s="6" t="s">
        <v>84</v>
      </c>
      <c r="B20" s="7" t="s">
        <v>116</v>
      </c>
      <c r="C20" s="18" t="n">
        <v>6</v>
      </c>
      <c r="D20" s="18" t="n">
        <v>5</v>
      </c>
      <c r="E20" s="6"/>
    </row>
    <row r="21" customFormat="false" ht="15" hidden="false" customHeight="false" outlineLevel="0" collapsed="false">
      <c r="A21" s="6" t="s">
        <v>84</v>
      </c>
      <c r="B21" s="7" t="s">
        <v>117</v>
      </c>
      <c r="C21" s="18" t="n">
        <v>6</v>
      </c>
      <c r="D21" s="18" t="n">
        <v>6</v>
      </c>
      <c r="E21" s="6"/>
    </row>
    <row r="22" customFormat="false" ht="15" hidden="false" customHeight="false" outlineLevel="0" collapsed="false">
      <c r="A22" s="6" t="s">
        <v>84</v>
      </c>
      <c r="B22" s="7" t="s">
        <v>118</v>
      </c>
      <c r="C22" s="18" t="n">
        <v>6</v>
      </c>
      <c r="D22" s="18" t="n">
        <v>5</v>
      </c>
      <c r="E22" s="6"/>
    </row>
    <row r="23" customFormat="false" ht="15" hidden="false" customHeight="false" outlineLevel="0" collapsed="false">
      <c r="A23" s="6" t="s">
        <v>84</v>
      </c>
      <c r="B23" s="7" t="s">
        <v>119</v>
      </c>
      <c r="C23" s="18" t="n">
        <v>6</v>
      </c>
      <c r="D23" s="18" t="n">
        <v>5</v>
      </c>
      <c r="E23" s="6"/>
    </row>
    <row r="24" customFormat="false" ht="15" hidden="false" customHeight="false" outlineLevel="0" collapsed="false">
      <c r="A24" s="6" t="s">
        <v>85</v>
      </c>
      <c r="B24" s="7" t="s">
        <v>115</v>
      </c>
      <c r="C24" s="18" t="n">
        <v>9</v>
      </c>
      <c r="D24" s="18" t="n">
        <v>7</v>
      </c>
      <c r="E24" s="6"/>
    </row>
    <row r="25" customFormat="false" ht="15" hidden="false" customHeight="false" outlineLevel="0" collapsed="false">
      <c r="A25" s="6" t="s">
        <v>85</v>
      </c>
      <c r="B25" s="7" t="s">
        <v>116</v>
      </c>
      <c r="C25" s="18" t="n">
        <v>7</v>
      </c>
      <c r="D25" s="18" t="n">
        <v>5</v>
      </c>
      <c r="E25" s="6"/>
    </row>
    <row r="26" customFormat="false" ht="23.85" hidden="false" customHeight="false" outlineLevel="0" collapsed="false">
      <c r="A26" s="6" t="s">
        <v>85</v>
      </c>
      <c r="B26" s="7" t="s">
        <v>117</v>
      </c>
      <c r="C26" s="18" t="n">
        <v>7</v>
      </c>
      <c r="D26" s="18"/>
      <c r="E26" s="6" t="s">
        <v>120</v>
      </c>
    </row>
    <row r="27" customFormat="false" ht="15" hidden="false" customHeight="false" outlineLevel="0" collapsed="false">
      <c r="A27" s="6" t="s">
        <v>85</v>
      </c>
      <c r="B27" s="7" t="s">
        <v>118</v>
      </c>
      <c r="C27" s="18" t="n">
        <v>4</v>
      </c>
      <c r="D27" s="18" t="n">
        <v>6</v>
      </c>
      <c r="E27" s="6"/>
    </row>
    <row r="29" customFormat="false" ht="15" hidden="false" customHeight="false" outlineLevel="0" collapsed="false">
      <c r="A29" s="4" t="s">
        <v>76</v>
      </c>
      <c r="B29" s="4" t="s">
        <v>121</v>
      </c>
      <c r="C29" s="4" t="s">
        <v>122</v>
      </c>
      <c r="D29" s="4" t="s">
        <v>123</v>
      </c>
      <c r="E29" s="4" t="s">
        <v>124</v>
      </c>
    </row>
    <row r="30" customFormat="false" ht="15" hidden="false" customHeight="false" outlineLevel="0" collapsed="false">
      <c r="A30" s="5" t="s">
        <v>81</v>
      </c>
      <c r="B30" s="7" t="n">
        <f aca="false">COUNTIF($A$5:$A$27,A30)</f>
        <v>5</v>
      </c>
      <c r="C30" s="11" t="n">
        <f aca="false">AVERAGEIF($A$5:$A$27,A30,$C$5:$C$27)</f>
        <v>6.8</v>
      </c>
      <c r="D30" s="11" t="n">
        <f aca="false">AVERAGEIF($A$5:$A$27,A30,$D$5:$D$27)</f>
        <v>8</v>
      </c>
      <c r="E30" s="19" t="n">
        <f aca="false">D30-C30</f>
        <v>1.2</v>
      </c>
    </row>
    <row r="31" customFormat="false" ht="15" hidden="false" customHeight="false" outlineLevel="0" collapsed="false">
      <c r="A31" s="5" t="s">
        <v>82</v>
      </c>
      <c r="B31" s="7" t="n">
        <f aca="false">COUNTIF($A$5:$A$27,A31)</f>
        <v>5</v>
      </c>
      <c r="C31" s="11" t="n">
        <f aca="false">AVERAGEIF($A$5:$A$27,A31,$C$5:$C$27)</f>
        <v>7</v>
      </c>
      <c r="D31" s="11" t="n">
        <f aca="false">AVERAGEIF($A$5:$A$27,A31,$D$5:$D$27)</f>
        <v>7.4</v>
      </c>
      <c r="E31" s="19" t="n">
        <f aca="false">D31-C31</f>
        <v>0.4</v>
      </c>
    </row>
    <row r="32" customFormat="false" ht="15" hidden="false" customHeight="false" outlineLevel="0" collapsed="false">
      <c r="A32" s="5" t="s">
        <v>83</v>
      </c>
      <c r="B32" s="7" t="n">
        <f aca="false">COUNTIF($A$5:$A$27,A32)</f>
        <v>4</v>
      </c>
      <c r="C32" s="11" t="n">
        <f aca="false">AVERAGEIF($A$5:$A$27,A32,$C$5:$C$27)</f>
        <v>6.5</v>
      </c>
      <c r="D32" s="11" t="n">
        <f aca="false">AVERAGEIF($A$5:$A$27,A32,$D$5:$D$27)</f>
        <v>8</v>
      </c>
      <c r="E32" s="19" t="n">
        <f aca="false">D32-C32</f>
        <v>1.5</v>
      </c>
    </row>
    <row r="33" customFormat="false" ht="15" hidden="false" customHeight="false" outlineLevel="0" collapsed="false">
      <c r="A33" s="5" t="s">
        <v>84</v>
      </c>
      <c r="B33" s="7" t="n">
        <f aca="false">COUNTIF($A$5:$A$27,A33)</f>
        <v>5</v>
      </c>
      <c r="C33" s="11" t="n">
        <f aca="false">AVERAGEIF($A$5:$A$27,A33,$C$5:$C$27)</f>
        <v>6</v>
      </c>
      <c r="D33" s="11" t="n">
        <f aca="false">AVERAGEIF($A$5:$A$27,A33,$D$5:$D$27)</f>
        <v>5.4</v>
      </c>
      <c r="E33" s="19" t="n">
        <f aca="false">D33-C33</f>
        <v>-0.6</v>
      </c>
    </row>
    <row r="34" customFormat="false" ht="15" hidden="false" customHeight="false" outlineLevel="0" collapsed="false">
      <c r="A34" s="5" t="s">
        <v>85</v>
      </c>
      <c r="B34" s="7" t="n">
        <f aca="false">COUNTIF($A$5:$A$27,A34)</f>
        <v>4</v>
      </c>
      <c r="C34" s="11" t="n">
        <f aca="false">AVERAGEIF($A$5:$A$27,A34,$C$5:$C$27)</f>
        <v>6.75</v>
      </c>
      <c r="D34" s="11" t="n">
        <f aca="false">AVERAGEIF($A$5:$A$27,A34,$D$5:$D$27)</f>
        <v>6</v>
      </c>
      <c r="E34" s="19" t="n">
        <f aca="false">D34-C34</f>
        <v>-0.75</v>
      </c>
    </row>
    <row r="35" customFormat="false" ht="15" hidden="false" customHeight="false" outlineLevel="0" collapsed="false">
      <c r="A35" s="16" t="s">
        <v>125</v>
      </c>
      <c r="B35" s="20" t="n">
        <f aca="false">COUNTA($A$5:$A$27)</f>
        <v>23</v>
      </c>
      <c r="C35" s="21" t="n">
        <f aca="false">AVERAGE($C$5:$C$27)</f>
        <v>6.60869565217391</v>
      </c>
      <c r="D35" s="21" t="n">
        <f aca="false">AVERAGE($D$5:$D$27)</f>
        <v>7</v>
      </c>
      <c r="E35" s="22" t="n">
        <f aca="false">D35-C35</f>
        <v>0.391304347826087</v>
      </c>
    </row>
    <row r="37" customFormat="false" ht="48" hidden="false" customHeight="true" outlineLevel="0" collapsed="false">
      <c r="A37" s="5" t="s">
        <v>86</v>
      </c>
      <c r="B37" s="17" t="s">
        <v>126</v>
      </c>
      <c r="C37" s="17"/>
      <c r="D37" s="17"/>
      <c r="E37" s="17"/>
    </row>
  </sheetData>
  <mergeCells count="1"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45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5.05" hidden="false" customHeight="false" outlineLevel="0" collapsed="false">
      <c r="A4" s="4" t="s">
        <v>129</v>
      </c>
      <c r="B4" s="4" t="s">
        <v>76</v>
      </c>
      <c r="C4" s="4" t="s">
        <v>89</v>
      </c>
      <c r="D4" s="4" t="s">
        <v>130</v>
      </c>
      <c r="E4" s="4" t="s">
        <v>131</v>
      </c>
      <c r="F4" s="4" t="s">
        <v>132</v>
      </c>
      <c r="G4" s="4" t="s">
        <v>133</v>
      </c>
      <c r="H4" s="4" t="s">
        <v>134</v>
      </c>
      <c r="I4" s="4" t="s">
        <v>135</v>
      </c>
      <c r="J4" s="4" t="s">
        <v>136</v>
      </c>
    </row>
    <row r="5" customFormat="false" ht="15" hidden="false" customHeight="false" outlineLevel="0" collapsed="false">
      <c r="A5" s="23" t="s">
        <v>137</v>
      </c>
      <c r="B5" s="6" t="s">
        <v>81</v>
      </c>
      <c r="C5" s="7" t="s">
        <v>138</v>
      </c>
      <c r="D5" s="7" t="n">
        <v>1</v>
      </c>
      <c r="E5" s="7" t="s">
        <v>139</v>
      </c>
      <c r="F5" s="18" t="s">
        <v>139</v>
      </c>
      <c r="G5" s="24" t="n">
        <f aca="false">IF(F5="?","n.v.",IF(F5=E5,1,0))</f>
        <v>1</v>
      </c>
      <c r="H5" s="18" t="n">
        <v>1</v>
      </c>
      <c r="I5" s="6"/>
      <c r="J5" s="25"/>
    </row>
    <row r="6" customFormat="false" ht="15" hidden="false" customHeight="false" outlineLevel="0" collapsed="false">
      <c r="A6" s="23" t="s">
        <v>140</v>
      </c>
      <c r="B6" s="6" t="s">
        <v>81</v>
      </c>
      <c r="C6" s="7" t="s">
        <v>138</v>
      </c>
      <c r="D6" s="7" t="n">
        <v>2</v>
      </c>
      <c r="E6" s="7" t="s">
        <v>141</v>
      </c>
      <c r="F6" s="18" t="s">
        <v>141</v>
      </c>
      <c r="G6" s="24" t="n">
        <f aca="false">IF(F6="?","n.v.",IF(F6=E6,1,0))</f>
        <v>1</v>
      </c>
      <c r="H6" s="18" t="n">
        <v>1</v>
      </c>
      <c r="I6" s="6"/>
      <c r="J6" s="25"/>
    </row>
    <row r="7" customFormat="false" ht="15" hidden="false" customHeight="false" outlineLevel="0" collapsed="false">
      <c r="A7" s="23" t="s">
        <v>142</v>
      </c>
      <c r="B7" s="6" t="s">
        <v>81</v>
      </c>
      <c r="C7" s="7" t="s">
        <v>138</v>
      </c>
      <c r="D7" s="7" t="n">
        <v>3</v>
      </c>
      <c r="E7" s="7" t="s">
        <v>141</v>
      </c>
      <c r="F7" s="18" t="s">
        <v>141</v>
      </c>
      <c r="G7" s="24" t="n">
        <f aca="false">IF(F7="?","n.v.",IF(F7=E7,1,0))</f>
        <v>1</v>
      </c>
      <c r="H7" s="18" t="n">
        <v>1</v>
      </c>
      <c r="I7" s="6" t="s">
        <v>143</v>
      </c>
      <c r="J7" s="25"/>
    </row>
    <row r="8" customFormat="false" ht="23.85" hidden="false" customHeight="false" outlineLevel="0" collapsed="false">
      <c r="A8" s="23" t="s">
        <v>144</v>
      </c>
      <c r="B8" s="6" t="s">
        <v>81</v>
      </c>
      <c r="C8" s="7" t="s">
        <v>145</v>
      </c>
      <c r="D8" s="7" t="n">
        <v>1</v>
      </c>
      <c r="E8" s="7" t="s">
        <v>141</v>
      </c>
      <c r="F8" s="18" t="s">
        <v>141</v>
      </c>
      <c r="G8" s="24" t="n">
        <f aca="false">IF(F8="?","n.v.",IF(F8=E8,1,0))</f>
        <v>1</v>
      </c>
      <c r="H8" s="18" t="n">
        <v>1</v>
      </c>
      <c r="I8" s="6" t="s">
        <v>146</v>
      </c>
      <c r="J8" s="25"/>
    </row>
    <row r="9" customFormat="false" ht="15" hidden="false" customHeight="false" outlineLevel="0" collapsed="false">
      <c r="A9" s="23" t="s">
        <v>147</v>
      </c>
      <c r="B9" s="6" t="s">
        <v>81</v>
      </c>
      <c r="C9" s="7" t="s">
        <v>145</v>
      </c>
      <c r="D9" s="7" t="n">
        <v>2</v>
      </c>
      <c r="E9" s="7" t="s">
        <v>139</v>
      </c>
      <c r="F9" s="18" t="s">
        <v>139</v>
      </c>
      <c r="G9" s="24" t="n">
        <f aca="false">IF(F9="?","n.v.",IF(F9=E9,1,0))</f>
        <v>1</v>
      </c>
      <c r="H9" s="18" t="n">
        <v>2</v>
      </c>
      <c r="I9" s="6"/>
      <c r="J9" s="25"/>
    </row>
    <row r="10" customFormat="false" ht="15" hidden="false" customHeight="false" outlineLevel="0" collapsed="false">
      <c r="A10" s="23" t="s">
        <v>148</v>
      </c>
      <c r="B10" s="6" t="s">
        <v>81</v>
      </c>
      <c r="C10" s="7" t="s">
        <v>145</v>
      </c>
      <c r="D10" s="7" t="n">
        <v>3</v>
      </c>
      <c r="E10" s="7" t="s">
        <v>139</v>
      </c>
      <c r="F10" s="18" t="s">
        <v>139</v>
      </c>
      <c r="G10" s="24" t="n">
        <f aca="false">IF(F10="?","n.v.",IF(F10=E10,1,0))</f>
        <v>1</v>
      </c>
      <c r="H10" s="18" t="n">
        <v>2</v>
      </c>
      <c r="I10" s="6"/>
      <c r="J10" s="25"/>
    </row>
    <row r="11" customFormat="false" ht="15" hidden="false" customHeight="false" outlineLevel="0" collapsed="false">
      <c r="A11" s="23" t="s">
        <v>149</v>
      </c>
      <c r="B11" s="6" t="s">
        <v>81</v>
      </c>
      <c r="C11" s="7" t="s">
        <v>150</v>
      </c>
      <c r="D11" s="7" t="n">
        <v>1</v>
      </c>
      <c r="E11" s="7" t="s">
        <v>139</v>
      </c>
      <c r="F11" s="18" t="s">
        <v>141</v>
      </c>
      <c r="G11" s="24" t="n">
        <f aca="false">IF(F11="?","n.v.",IF(F11=E11,1,0))</f>
        <v>0</v>
      </c>
      <c r="H11" s="18" t="n">
        <v>4</v>
      </c>
      <c r="I11" s="6" t="s">
        <v>151</v>
      </c>
      <c r="J11" s="25"/>
    </row>
    <row r="12" customFormat="false" ht="15" hidden="false" customHeight="false" outlineLevel="0" collapsed="false">
      <c r="A12" s="23" t="s">
        <v>152</v>
      </c>
      <c r="B12" s="6" t="s">
        <v>81</v>
      </c>
      <c r="C12" s="7" t="s">
        <v>150</v>
      </c>
      <c r="D12" s="7" t="n">
        <v>2</v>
      </c>
      <c r="E12" s="7" t="s">
        <v>139</v>
      </c>
      <c r="F12" s="18" t="s">
        <v>139</v>
      </c>
      <c r="G12" s="24" t="n">
        <f aca="false">IF(F12="?","n.v.",IF(F12=E12,1,0))</f>
        <v>1</v>
      </c>
      <c r="H12" s="18"/>
      <c r="I12" s="6"/>
      <c r="J12" s="25"/>
    </row>
    <row r="13" customFormat="false" ht="15" hidden="false" customHeight="false" outlineLevel="0" collapsed="false">
      <c r="A13" s="23" t="s">
        <v>153</v>
      </c>
      <c r="B13" s="6" t="s">
        <v>81</v>
      </c>
      <c r="C13" s="7" t="s">
        <v>150</v>
      </c>
      <c r="D13" s="7" t="n">
        <v>3</v>
      </c>
      <c r="E13" s="7" t="s">
        <v>141</v>
      </c>
      <c r="F13" s="18" t="s">
        <v>141</v>
      </c>
      <c r="G13" s="24" t="n">
        <f aca="false">IF(F13="?","n.v.",IF(F13=E13,1,0))</f>
        <v>1</v>
      </c>
      <c r="H13" s="18"/>
      <c r="I13" s="6" t="s">
        <v>154</v>
      </c>
      <c r="J13" s="25"/>
    </row>
    <row r="14" customFormat="false" ht="15" hidden="false" customHeight="false" outlineLevel="0" collapsed="false">
      <c r="A14" s="23" t="s">
        <v>155</v>
      </c>
      <c r="B14" s="6" t="s">
        <v>81</v>
      </c>
      <c r="C14" s="7" t="s">
        <v>156</v>
      </c>
      <c r="D14" s="7" t="n">
        <v>1</v>
      </c>
      <c r="E14" s="7" t="s">
        <v>141</v>
      </c>
      <c r="F14" s="18" t="s">
        <v>141</v>
      </c>
      <c r="G14" s="24" t="n">
        <f aca="false">IF(F14="?","n.v.",IF(F14=E14,1,0))</f>
        <v>1</v>
      </c>
      <c r="H14" s="18" t="n">
        <v>5</v>
      </c>
      <c r="I14" s="6"/>
      <c r="J14" s="25" t="s">
        <v>157</v>
      </c>
    </row>
    <row r="15" customFormat="false" ht="15" hidden="false" customHeight="false" outlineLevel="0" collapsed="false">
      <c r="A15" s="23" t="s">
        <v>158</v>
      </c>
      <c r="B15" s="6" t="s">
        <v>81</v>
      </c>
      <c r="C15" s="7" t="s">
        <v>156</v>
      </c>
      <c r="D15" s="7" t="n">
        <v>2</v>
      </c>
      <c r="E15" s="7" t="s">
        <v>139</v>
      </c>
      <c r="F15" s="18" t="s">
        <v>139</v>
      </c>
      <c r="G15" s="24" t="n">
        <f aca="false">IF(F15="?","n.v.",IF(F15=E15,1,0))</f>
        <v>1</v>
      </c>
      <c r="H15" s="18" t="n">
        <v>5</v>
      </c>
      <c r="I15" s="6"/>
      <c r="J15" s="25" t="s">
        <v>157</v>
      </c>
    </row>
    <row r="16" customFormat="false" ht="15" hidden="false" customHeight="false" outlineLevel="0" collapsed="false">
      <c r="A16" s="23" t="s">
        <v>159</v>
      </c>
      <c r="B16" s="6" t="s">
        <v>81</v>
      </c>
      <c r="C16" s="7" t="s">
        <v>156</v>
      </c>
      <c r="D16" s="7" t="n">
        <v>3</v>
      </c>
      <c r="E16" s="7" t="s">
        <v>141</v>
      </c>
      <c r="F16" s="18" t="s">
        <v>141</v>
      </c>
      <c r="G16" s="24" t="n">
        <f aca="false">IF(F16="?","n.v.",IF(F16=E16,1,0))</f>
        <v>1</v>
      </c>
      <c r="H16" s="18" t="n">
        <v>5</v>
      </c>
      <c r="I16" s="6" t="s">
        <v>160</v>
      </c>
      <c r="J16" s="25" t="s">
        <v>161</v>
      </c>
    </row>
    <row r="17" customFormat="false" ht="15" hidden="false" customHeight="false" outlineLevel="0" collapsed="false">
      <c r="A17" s="23" t="s">
        <v>162</v>
      </c>
      <c r="B17" s="6" t="s">
        <v>81</v>
      </c>
      <c r="C17" s="7" t="s">
        <v>163</v>
      </c>
      <c r="D17" s="7" t="n">
        <v>1</v>
      </c>
      <c r="E17" s="7" t="s">
        <v>141</v>
      </c>
      <c r="F17" s="18" t="s">
        <v>141</v>
      </c>
      <c r="G17" s="24" t="n">
        <f aca="false">IF(F17="?","n.v.",IF(F17=E17,1,0))</f>
        <v>1</v>
      </c>
      <c r="H17" s="18" t="n">
        <v>5</v>
      </c>
      <c r="I17" s="6" t="s">
        <v>164</v>
      </c>
      <c r="J17" s="25" t="s">
        <v>165</v>
      </c>
    </row>
    <row r="18" customFormat="false" ht="23.85" hidden="false" customHeight="false" outlineLevel="0" collapsed="false">
      <c r="A18" s="23" t="s">
        <v>166</v>
      </c>
      <c r="B18" s="6" t="s">
        <v>81</v>
      </c>
      <c r="C18" s="7" t="s">
        <v>163</v>
      </c>
      <c r="D18" s="7" t="n">
        <v>2</v>
      </c>
      <c r="E18" s="7" t="s">
        <v>141</v>
      </c>
      <c r="F18" s="18" t="s">
        <v>167</v>
      </c>
      <c r="G18" s="24" t="str">
        <f aca="false">IF(F18="?","n.v.",IF(F18=E18,1,0))</f>
        <v>n.v.</v>
      </c>
      <c r="H18" s="18" t="n">
        <v>5</v>
      </c>
      <c r="I18" s="6" t="s">
        <v>168</v>
      </c>
      <c r="J18" s="25" t="s">
        <v>169</v>
      </c>
    </row>
    <row r="19" customFormat="false" ht="15" hidden="false" customHeight="false" outlineLevel="0" collapsed="false">
      <c r="A19" s="23" t="s">
        <v>170</v>
      </c>
      <c r="B19" s="6" t="s">
        <v>81</v>
      </c>
      <c r="C19" s="7" t="s">
        <v>163</v>
      </c>
      <c r="D19" s="7" t="n">
        <v>3</v>
      </c>
      <c r="E19" s="7" t="s">
        <v>141</v>
      </c>
      <c r="F19" s="18" t="s">
        <v>139</v>
      </c>
      <c r="G19" s="24" t="n">
        <f aca="false">IF(F19="?","n.v.",IF(F19=E19,1,0))</f>
        <v>0</v>
      </c>
      <c r="H19" s="18"/>
      <c r="I19" s="6"/>
      <c r="J19" s="25"/>
    </row>
    <row r="20" customFormat="false" ht="15" hidden="false" customHeight="false" outlineLevel="0" collapsed="false">
      <c r="A20" s="23" t="s">
        <v>171</v>
      </c>
      <c r="B20" s="6" t="s">
        <v>81</v>
      </c>
      <c r="C20" s="7" t="s">
        <v>163</v>
      </c>
      <c r="D20" s="7" t="n">
        <v>4</v>
      </c>
      <c r="E20" s="7" t="s">
        <v>141</v>
      </c>
      <c r="F20" s="18" t="s">
        <v>141</v>
      </c>
      <c r="G20" s="24" t="n">
        <f aca="false">IF(F20="?","n.v.",IF(F20=E20,1,0))</f>
        <v>1</v>
      </c>
      <c r="H20" s="18" t="n">
        <v>5</v>
      </c>
      <c r="I20" s="6" t="s">
        <v>172</v>
      </c>
      <c r="J20" s="25"/>
    </row>
    <row r="21" customFormat="false" ht="15" hidden="false" customHeight="false" outlineLevel="0" collapsed="false">
      <c r="A21" s="23" t="s">
        <v>173</v>
      </c>
      <c r="B21" s="6" t="s">
        <v>82</v>
      </c>
      <c r="C21" s="7" t="s">
        <v>138</v>
      </c>
      <c r="D21" s="7" t="n">
        <v>1</v>
      </c>
      <c r="E21" s="7" t="s">
        <v>139</v>
      </c>
      <c r="F21" s="18" t="s">
        <v>139</v>
      </c>
      <c r="G21" s="24" t="n">
        <f aca="false">IF(F21="?","n.v.",IF(F21=E21,1,0))</f>
        <v>1</v>
      </c>
      <c r="H21" s="18" t="n">
        <v>1</v>
      </c>
      <c r="I21" s="6"/>
      <c r="J21" s="25"/>
    </row>
    <row r="22" customFormat="false" ht="15" hidden="false" customHeight="false" outlineLevel="0" collapsed="false">
      <c r="A22" s="23" t="s">
        <v>174</v>
      </c>
      <c r="B22" s="6" t="s">
        <v>82</v>
      </c>
      <c r="C22" s="7" t="s">
        <v>138</v>
      </c>
      <c r="D22" s="7" t="n">
        <v>2</v>
      </c>
      <c r="E22" s="7" t="s">
        <v>141</v>
      </c>
      <c r="F22" s="18" t="s">
        <v>141</v>
      </c>
      <c r="G22" s="24" t="n">
        <f aca="false">IF(F22="?","n.v.",IF(F22=E22,1,0))</f>
        <v>1</v>
      </c>
      <c r="H22" s="18" t="n">
        <v>1</v>
      </c>
      <c r="I22" s="6"/>
      <c r="J22" s="25"/>
    </row>
    <row r="23" customFormat="false" ht="15" hidden="false" customHeight="false" outlineLevel="0" collapsed="false">
      <c r="A23" s="23" t="s">
        <v>175</v>
      </c>
      <c r="B23" s="6" t="s">
        <v>82</v>
      </c>
      <c r="C23" s="7" t="s">
        <v>138</v>
      </c>
      <c r="D23" s="7" t="n">
        <v>3</v>
      </c>
      <c r="E23" s="7" t="s">
        <v>141</v>
      </c>
      <c r="F23" s="18" t="s">
        <v>141</v>
      </c>
      <c r="G23" s="24" t="n">
        <f aca="false">IF(F23="?","n.v.",IF(F23=E23,1,0))</f>
        <v>1</v>
      </c>
      <c r="H23" s="18" t="n">
        <v>1</v>
      </c>
      <c r="I23" s="6"/>
      <c r="J23" s="25"/>
    </row>
    <row r="24" customFormat="false" ht="15" hidden="false" customHeight="false" outlineLevel="0" collapsed="false">
      <c r="A24" s="23" t="s">
        <v>176</v>
      </c>
      <c r="B24" s="6" t="s">
        <v>82</v>
      </c>
      <c r="C24" s="7" t="s">
        <v>145</v>
      </c>
      <c r="D24" s="7" t="n">
        <v>1</v>
      </c>
      <c r="E24" s="7" t="s">
        <v>141</v>
      </c>
      <c r="F24" s="18" t="s">
        <v>141</v>
      </c>
      <c r="G24" s="24" t="n">
        <f aca="false">IF(F24="?","n.v.",IF(F24=E24,1,0))</f>
        <v>1</v>
      </c>
      <c r="H24" s="18" t="n">
        <v>1</v>
      </c>
      <c r="I24" s="6" t="s">
        <v>177</v>
      </c>
      <c r="J24" s="25"/>
    </row>
    <row r="25" customFormat="false" ht="15" hidden="false" customHeight="false" outlineLevel="0" collapsed="false">
      <c r="A25" s="23" t="s">
        <v>178</v>
      </c>
      <c r="B25" s="6" t="s">
        <v>82</v>
      </c>
      <c r="C25" s="7" t="s">
        <v>145</v>
      </c>
      <c r="D25" s="7" t="n">
        <v>2</v>
      </c>
      <c r="E25" s="7" t="s">
        <v>139</v>
      </c>
      <c r="F25" s="18" t="s">
        <v>139</v>
      </c>
      <c r="G25" s="24" t="n">
        <f aca="false">IF(F25="?","n.v.",IF(F25=E25,1,0))</f>
        <v>1</v>
      </c>
      <c r="H25" s="18" t="n">
        <v>2</v>
      </c>
      <c r="I25" s="6"/>
      <c r="J25" s="25"/>
    </row>
    <row r="26" customFormat="false" ht="15" hidden="false" customHeight="false" outlineLevel="0" collapsed="false">
      <c r="A26" s="23" t="s">
        <v>179</v>
      </c>
      <c r="B26" s="6" t="s">
        <v>82</v>
      </c>
      <c r="C26" s="7" t="s">
        <v>145</v>
      </c>
      <c r="D26" s="7" t="n">
        <v>3</v>
      </c>
      <c r="E26" s="7" t="s">
        <v>139</v>
      </c>
      <c r="F26" s="18" t="s">
        <v>139</v>
      </c>
      <c r="G26" s="24" t="n">
        <f aca="false">IF(F26="?","n.v.",IF(F26=E26,1,0))</f>
        <v>1</v>
      </c>
      <c r="H26" s="18" t="n">
        <v>5</v>
      </c>
      <c r="I26" s="6"/>
      <c r="J26" s="25"/>
    </row>
    <row r="27" customFormat="false" ht="15" hidden="false" customHeight="false" outlineLevel="0" collapsed="false">
      <c r="A27" s="23" t="s">
        <v>180</v>
      </c>
      <c r="B27" s="6" t="s">
        <v>82</v>
      </c>
      <c r="C27" s="7" t="s">
        <v>150</v>
      </c>
      <c r="D27" s="7" t="n">
        <v>1</v>
      </c>
      <c r="E27" s="7" t="s">
        <v>139</v>
      </c>
      <c r="F27" s="18" t="s">
        <v>141</v>
      </c>
      <c r="G27" s="24" t="n">
        <f aca="false">IF(F27="?","n.v.",IF(F27=E27,1,0))</f>
        <v>0</v>
      </c>
      <c r="H27" s="18" t="n">
        <v>4</v>
      </c>
      <c r="I27" s="6" t="s">
        <v>181</v>
      </c>
      <c r="J27" s="25"/>
    </row>
    <row r="28" customFormat="false" ht="15" hidden="false" customHeight="false" outlineLevel="0" collapsed="false">
      <c r="A28" s="23" t="s">
        <v>182</v>
      </c>
      <c r="B28" s="6" t="s">
        <v>82</v>
      </c>
      <c r="C28" s="7" t="s">
        <v>150</v>
      </c>
      <c r="D28" s="7" t="n">
        <v>2</v>
      </c>
      <c r="E28" s="7" t="s">
        <v>139</v>
      </c>
      <c r="F28" s="18" t="s">
        <v>139</v>
      </c>
      <c r="G28" s="24" t="n">
        <f aca="false">IF(F28="?","n.v.",IF(F28=E28,1,0))</f>
        <v>1</v>
      </c>
      <c r="H28" s="18" t="n">
        <v>1</v>
      </c>
      <c r="I28" s="6"/>
      <c r="J28" s="25"/>
    </row>
    <row r="29" customFormat="false" ht="15" hidden="false" customHeight="false" outlineLevel="0" collapsed="false">
      <c r="A29" s="23" t="s">
        <v>183</v>
      </c>
      <c r="B29" s="6" t="s">
        <v>82</v>
      </c>
      <c r="C29" s="7" t="s">
        <v>150</v>
      </c>
      <c r="D29" s="7" t="n">
        <v>3</v>
      </c>
      <c r="E29" s="7" t="s">
        <v>141</v>
      </c>
      <c r="F29" s="18" t="s">
        <v>141</v>
      </c>
      <c r="G29" s="24" t="n">
        <f aca="false">IF(F29="?","n.v.",IF(F29=E29,1,0))</f>
        <v>1</v>
      </c>
      <c r="H29" s="18" t="n">
        <v>2</v>
      </c>
      <c r="I29" s="6" t="s">
        <v>184</v>
      </c>
      <c r="J29" s="25"/>
    </row>
    <row r="30" customFormat="false" ht="15" hidden="false" customHeight="false" outlineLevel="0" collapsed="false">
      <c r="A30" s="23" t="s">
        <v>185</v>
      </c>
      <c r="B30" s="6" t="s">
        <v>82</v>
      </c>
      <c r="C30" s="7" t="s">
        <v>156</v>
      </c>
      <c r="D30" s="7" t="n">
        <v>1</v>
      </c>
      <c r="E30" s="7" t="s">
        <v>141</v>
      </c>
      <c r="F30" s="18" t="s">
        <v>141</v>
      </c>
      <c r="G30" s="24" t="n">
        <f aca="false">IF(F30="?","n.v.",IF(F30=E30,1,0))</f>
        <v>1</v>
      </c>
      <c r="H30" s="18" t="n">
        <v>4</v>
      </c>
      <c r="I30" s="6" t="s">
        <v>186</v>
      </c>
      <c r="J30" s="25"/>
    </row>
    <row r="31" customFormat="false" ht="15" hidden="false" customHeight="false" outlineLevel="0" collapsed="false">
      <c r="A31" s="23" t="s">
        <v>187</v>
      </c>
      <c r="B31" s="6" t="s">
        <v>82</v>
      </c>
      <c r="C31" s="7" t="s">
        <v>156</v>
      </c>
      <c r="D31" s="7" t="n">
        <v>2</v>
      </c>
      <c r="E31" s="7" t="s">
        <v>139</v>
      </c>
      <c r="F31" s="18" t="s">
        <v>139</v>
      </c>
      <c r="G31" s="24" t="n">
        <f aca="false">IF(F31="?","n.v.",IF(F31=E31,1,0))</f>
        <v>1</v>
      </c>
      <c r="H31" s="18" t="n">
        <v>1</v>
      </c>
      <c r="I31" s="6"/>
      <c r="J31" s="25"/>
    </row>
    <row r="32" customFormat="false" ht="15" hidden="false" customHeight="false" outlineLevel="0" collapsed="false">
      <c r="A32" s="23" t="s">
        <v>188</v>
      </c>
      <c r="B32" s="6" t="s">
        <v>82</v>
      </c>
      <c r="C32" s="7" t="s">
        <v>156</v>
      </c>
      <c r="D32" s="7" t="n">
        <v>3</v>
      </c>
      <c r="E32" s="7" t="s">
        <v>141</v>
      </c>
      <c r="F32" s="18" t="s">
        <v>141</v>
      </c>
      <c r="G32" s="24" t="n">
        <f aca="false">IF(F32="?","n.v.",IF(F32=E32,1,0))</f>
        <v>1</v>
      </c>
      <c r="H32" s="18" t="n">
        <v>2</v>
      </c>
      <c r="I32" s="6" t="s">
        <v>189</v>
      </c>
      <c r="J32" s="25"/>
    </row>
    <row r="33" customFormat="false" ht="15" hidden="false" customHeight="false" outlineLevel="0" collapsed="false">
      <c r="A33" s="23" t="s">
        <v>190</v>
      </c>
      <c r="B33" s="6" t="s">
        <v>82</v>
      </c>
      <c r="C33" s="7" t="s">
        <v>163</v>
      </c>
      <c r="D33" s="7" t="n">
        <v>1</v>
      </c>
      <c r="E33" s="7" t="s">
        <v>141</v>
      </c>
      <c r="F33" s="18" t="s">
        <v>141</v>
      </c>
      <c r="G33" s="24" t="n">
        <f aca="false">IF(F33="?","n.v.",IF(F33=E33,1,0))</f>
        <v>1</v>
      </c>
      <c r="H33" s="18" t="n">
        <v>5</v>
      </c>
      <c r="I33" s="6" t="s">
        <v>191</v>
      </c>
      <c r="J33" s="25"/>
    </row>
    <row r="34" customFormat="false" ht="15" hidden="false" customHeight="false" outlineLevel="0" collapsed="false">
      <c r="A34" s="23" t="s">
        <v>192</v>
      </c>
      <c r="B34" s="6" t="s">
        <v>82</v>
      </c>
      <c r="C34" s="7" t="s">
        <v>163</v>
      </c>
      <c r="D34" s="7" t="n">
        <v>2</v>
      </c>
      <c r="E34" s="7" t="s">
        <v>141</v>
      </c>
      <c r="F34" s="18" t="s">
        <v>139</v>
      </c>
      <c r="G34" s="24" t="n">
        <f aca="false">IF(F34="?","n.v.",IF(F34=E34,1,0))</f>
        <v>0</v>
      </c>
      <c r="H34" s="18" t="n">
        <v>5</v>
      </c>
      <c r="I34" s="6"/>
      <c r="J34" s="25"/>
    </row>
    <row r="35" customFormat="false" ht="15" hidden="false" customHeight="false" outlineLevel="0" collapsed="false">
      <c r="A35" s="23" t="s">
        <v>193</v>
      </c>
      <c r="B35" s="6" t="s">
        <v>82</v>
      </c>
      <c r="C35" s="7" t="s">
        <v>163</v>
      </c>
      <c r="D35" s="7" t="n">
        <v>3</v>
      </c>
      <c r="E35" s="7" t="s">
        <v>141</v>
      </c>
      <c r="F35" s="18" t="s">
        <v>139</v>
      </c>
      <c r="G35" s="24" t="n">
        <f aca="false">IF(F35="?","n.v.",IF(F35=E35,1,0))</f>
        <v>0</v>
      </c>
      <c r="H35" s="18" t="n">
        <v>5</v>
      </c>
      <c r="I35" s="6"/>
      <c r="J35" s="25"/>
    </row>
    <row r="36" customFormat="false" ht="15" hidden="false" customHeight="false" outlineLevel="0" collapsed="false">
      <c r="A36" s="23" t="s">
        <v>194</v>
      </c>
      <c r="B36" s="6" t="s">
        <v>82</v>
      </c>
      <c r="C36" s="7" t="s">
        <v>163</v>
      </c>
      <c r="D36" s="7" t="n">
        <v>4</v>
      </c>
      <c r="E36" s="7" t="s">
        <v>141</v>
      </c>
      <c r="F36" s="18" t="s">
        <v>141</v>
      </c>
      <c r="G36" s="24" t="n">
        <f aca="false">IF(F36="?","n.v.",IF(F36=E36,1,0))</f>
        <v>1</v>
      </c>
      <c r="H36" s="18" t="n">
        <v>5</v>
      </c>
      <c r="I36" s="6" t="s">
        <v>195</v>
      </c>
      <c r="J36" s="25"/>
    </row>
    <row r="37" customFormat="false" ht="15" hidden="false" customHeight="false" outlineLevel="0" collapsed="false">
      <c r="A37" s="23" t="s">
        <v>196</v>
      </c>
      <c r="B37" s="6" t="s">
        <v>83</v>
      </c>
      <c r="C37" s="7" t="s">
        <v>138</v>
      </c>
      <c r="D37" s="7" t="n">
        <v>1</v>
      </c>
      <c r="E37" s="7" t="s">
        <v>139</v>
      </c>
      <c r="F37" s="18" t="s">
        <v>139</v>
      </c>
      <c r="G37" s="24" t="n">
        <f aca="false">IF(F37="?","n.v.",IF(F37=E37,1,0))</f>
        <v>1</v>
      </c>
      <c r="H37" s="18"/>
      <c r="I37" s="6"/>
      <c r="J37" s="25"/>
    </row>
    <row r="38" customFormat="false" ht="15" hidden="false" customHeight="false" outlineLevel="0" collapsed="false">
      <c r="A38" s="23" t="s">
        <v>197</v>
      </c>
      <c r="B38" s="6" t="s">
        <v>83</v>
      </c>
      <c r="C38" s="7" t="s">
        <v>138</v>
      </c>
      <c r="D38" s="7" t="n">
        <v>2</v>
      </c>
      <c r="E38" s="7" t="s">
        <v>141</v>
      </c>
      <c r="F38" s="18" t="s">
        <v>141</v>
      </c>
      <c r="G38" s="24" t="n">
        <f aca="false">IF(F38="?","n.v.",IF(F38=E38,1,0))</f>
        <v>1</v>
      </c>
      <c r="H38" s="18"/>
      <c r="I38" s="6"/>
      <c r="J38" s="25"/>
    </row>
    <row r="39" customFormat="false" ht="15" hidden="false" customHeight="false" outlineLevel="0" collapsed="false">
      <c r="A39" s="23" t="s">
        <v>198</v>
      </c>
      <c r="B39" s="6" t="s">
        <v>83</v>
      </c>
      <c r="C39" s="7" t="s">
        <v>138</v>
      </c>
      <c r="D39" s="7" t="n">
        <v>3</v>
      </c>
      <c r="E39" s="7" t="s">
        <v>141</v>
      </c>
      <c r="F39" s="18" t="s">
        <v>141</v>
      </c>
      <c r="G39" s="24" t="n">
        <f aca="false">IF(F39="?","n.v.",IF(F39=E39,1,0))</f>
        <v>1</v>
      </c>
      <c r="H39" s="18"/>
      <c r="I39" s="6" t="s">
        <v>199</v>
      </c>
      <c r="J39" s="25"/>
    </row>
    <row r="40" customFormat="false" ht="15" hidden="false" customHeight="false" outlineLevel="0" collapsed="false">
      <c r="A40" s="23" t="s">
        <v>200</v>
      </c>
      <c r="B40" s="6" t="s">
        <v>83</v>
      </c>
      <c r="C40" s="7" t="s">
        <v>145</v>
      </c>
      <c r="D40" s="7" t="n">
        <v>1</v>
      </c>
      <c r="E40" s="7" t="s">
        <v>141</v>
      </c>
      <c r="F40" s="18" t="s">
        <v>141</v>
      </c>
      <c r="G40" s="24" t="n">
        <f aca="false">IF(F40="?","n.v.",IF(F40=E40,1,0))</f>
        <v>1</v>
      </c>
      <c r="H40" s="18"/>
      <c r="I40" s="6" t="s">
        <v>201</v>
      </c>
      <c r="J40" s="25"/>
    </row>
    <row r="41" customFormat="false" ht="15" hidden="false" customHeight="false" outlineLevel="0" collapsed="false">
      <c r="A41" s="23" t="s">
        <v>202</v>
      </c>
      <c r="B41" s="6" t="s">
        <v>83</v>
      </c>
      <c r="C41" s="7" t="s">
        <v>145</v>
      </c>
      <c r="D41" s="7" t="n">
        <v>2</v>
      </c>
      <c r="E41" s="7" t="s">
        <v>139</v>
      </c>
      <c r="F41" s="18" t="s">
        <v>139</v>
      </c>
      <c r="G41" s="24" t="n">
        <f aca="false">IF(F41="?","n.v.",IF(F41=E41,1,0))</f>
        <v>1</v>
      </c>
      <c r="H41" s="18"/>
      <c r="I41" s="6"/>
      <c r="J41" s="25"/>
    </row>
    <row r="42" customFormat="false" ht="15" hidden="false" customHeight="false" outlineLevel="0" collapsed="false">
      <c r="A42" s="23" t="s">
        <v>203</v>
      </c>
      <c r="B42" s="6" t="s">
        <v>83</v>
      </c>
      <c r="C42" s="7" t="s">
        <v>145</v>
      </c>
      <c r="D42" s="7" t="n">
        <v>3</v>
      </c>
      <c r="E42" s="7" t="s">
        <v>139</v>
      </c>
      <c r="F42" s="18" t="s">
        <v>141</v>
      </c>
      <c r="G42" s="24" t="n">
        <f aca="false">IF(F42="?","n.v.",IF(F42=E42,1,0))</f>
        <v>0</v>
      </c>
      <c r="H42" s="18"/>
      <c r="I42" s="6" t="s">
        <v>204</v>
      </c>
      <c r="J42" s="25"/>
    </row>
    <row r="43" customFormat="false" ht="15" hidden="false" customHeight="false" outlineLevel="0" collapsed="false">
      <c r="A43" s="23" t="s">
        <v>205</v>
      </c>
      <c r="B43" s="6" t="s">
        <v>83</v>
      </c>
      <c r="C43" s="7" t="s">
        <v>150</v>
      </c>
      <c r="D43" s="7" t="n">
        <v>1</v>
      </c>
      <c r="E43" s="7" t="s">
        <v>139</v>
      </c>
      <c r="F43" s="18" t="s">
        <v>139</v>
      </c>
      <c r="G43" s="24" t="n">
        <f aca="false">IF(F43="?","n.v.",IF(F43=E43,1,0))</f>
        <v>1</v>
      </c>
      <c r="H43" s="18"/>
      <c r="I43" s="6"/>
      <c r="J43" s="25"/>
    </row>
    <row r="44" customFormat="false" ht="15" hidden="false" customHeight="false" outlineLevel="0" collapsed="false">
      <c r="A44" s="23" t="s">
        <v>206</v>
      </c>
      <c r="B44" s="6" t="s">
        <v>83</v>
      </c>
      <c r="C44" s="7" t="s">
        <v>150</v>
      </c>
      <c r="D44" s="7" t="n">
        <v>2</v>
      </c>
      <c r="E44" s="7" t="s">
        <v>139</v>
      </c>
      <c r="F44" s="18" t="s">
        <v>139</v>
      </c>
      <c r="G44" s="24" t="n">
        <f aca="false">IF(F44="?","n.v.",IF(F44=E44,1,0))</f>
        <v>1</v>
      </c>
      <c r="H44" s="18"/>
      <c r="I44" s="6"/>
      <c r="J44" s="25"/>
    </row>
    <row r="45" customFormat="false" ht="15" hidden="false" customHeight="false" outlineLevel="0" collapsed="false">
      <c r="A45" s="23" t="s">
        <v>207</v>
      </c>
      <c r="B45" s="6" t="s">
        <v>83</v>
      </c>
      <c r="C45" s="7" t="s">
        <v>150</v>
      </c>
      <c r="D45" s="7" t="n">
        <v>3</v>
      </c>
      <c r="E45" s="7" t="s">
        <v>141</v>
      </c>
      <c r="F45" s="18" t="s">
        <v>141</v>
      </c>
      <c r="G45" s="24" t="n">
        <f aca="false">IF(F45="?","n.v.",IF(F45=E45,1,0))</f>
        <v>1</v>
      </c>
      <c r="H45" s="18"/>
      <c r="I45" s="6" t="s">
        <v>208</v>
      </c>
      <c r="J45" s="25"/>
    </row>
    <row r="46" customFormat="false" ht="15" hidden="false" customHeight="false" outlineLevel="0" collapsed="false">
      <c r="A46" s="23" t="s">
        <v>209</v>
      </c>
      <c r="B46" s="6" t="s">
        <v>83</v>
      </c>
      <c r="C46" s="7" t="s">
        <v>156</v>
      </c>
      <c r="D46" s="7" t="n">
        <v>1</v>
      </c>
      <c r="E46" s="7" t="s">
        <v>141</v>
      </c>
      <c r="F46" s="18" t="s">
        <v>141</v>
      </c>
      <c r="G46" s="24" t="n">
        <f aca="false">IF(F46="?","n.v.",IF(F46=E46,1,0))</f>
        <v>1</v>
      </c>
      <c r="H46" s="18"/>
      <c r="I46" s="6" t="s">
        <v>210</v>
      </c>
      <c r="J46" s="25"/>
    </row>
    <row r="47" customFormat="false" ht="15" hidden="false" customHeight="false" outlineLevel="0" collapsed="false">
      <c r="A47" s="23" t="s">
        <v>211</v>
      </c>
      <c r="B47" s="6" t="s">
        <v>83</v>
      </c>
      <c r="C47" s="7" t="s">
        <v>156</v>
      </c>
      <c r="D47" s="7" t="n">
        <v>2</v>
      </c>
      <c r="E47" s="7" t="s">
        <v>139</v>
      </c>
      <c r="F47" s="18" t="s">
        <v>139</v>
      </c>
      <c r="G47" s="24" t="n">
        <f aca="false">IF(F47="?","n.v.",IF(F47=E47,1,0))</f>
        <v>1</v>
      </c>
      <c r="H47" s="18"/>
      <c r="I47" s="6"/>
      <c r="J47" s="25"/>
    </row>
    <row r="48" customFormat="false" ht="23.85" hidden="false" customHeight="false" outlineLevel="0" collapsed="false">
      <c r="A48" s="23" t="s">
        <v>212</v>
      </c>
      <c r="B48" s="6" t="s">
        <v>83</v>
      </c>
      <c r="C48" s="7" t="s">
        <v>156</v>
      </c>
      <c r="D48" s="7" t="n">
        <v>3</v>
      </c>
      <c r="E48" s="7" t="s">
        <v>141</v>
      </c>
      <c r="F48" s="18" t="s">
        <v>139</v>
      </c>
      <c r="G48" s="24" t="n">
        <f aca="false">IF(F48="?","n.v.",IF(F48=E48,1,0))</f>
        <v>0</v>
      </c>
      <c r="H48" s="18"/>
      <c r="I48" s="6" t="s">
        <v>213</v>
      </c>
      <c r="J48" s="25"/>
    </row>
    <row r="49" customFormat="false" ht="15" hidden="false" customHeight="false" outlineLevel="0" collapsed="false">
      <c r="A49" s="23" t="s">
        <v>214</v>
      </c>
      <c r="B49" s="6" t="s">
        <v>83</v>
      </c>
      <c r="C49" s="7" t="s">
        <v>163</v>
      </c>
      <c r="D49" s="7" t="n">
        <v>1</v>
      </c>
      <c r="E49" s="7" t="s">
        <v>141</v>
      </c>
      <c r="F49" s="18" t="s">
        <v>141</v>
      </c>
      <c r="G49" s="24" t="n">
        <f aca="false">IF(F49="?","n.v.",IF(F49=E49,1,0))</f>
        <v>1</v>
      </c>
      <c r="H49" s="18"/>
      <c r="I49" s="6"/>
      <c r="J49" s="25"/>
    </row>
    <row r="50" customFormat="false" ht="15" hidden="false" customHeight="false" outlineLevel="0" collapsed="false">
      <c r="A50" s="23" t="s">
        <v>215</v>
      </c>
      <c r="B50" s="6" t="s">
        <v>83</v>
      </c>
      <c r="C50" s="7" t="s">
        <v>163</v>
      </c>
      <c r="D50" s="7" t="n">
        <v>2</v>
      </c>
      <c r="E50" s="7" t="s">
        <v>141</v>
      </c>
      <c r="F50" s="18" t="s">
        <v>139</v>
      </c>
      <c r="G50" s="24" t="n">
        <f aca="false">IF(F50="?","n.v.",IF(F50=E50,1,0))</f>
        <v>0</v>
      </c>
      <c r="H50" s="18"/>
      <c r="I50" s="6"/>
      <c r="J50" s="25" t="s">
        <v>216</v>
      </c>
    </row>
    <row r="51" customFormat="false" ht="15" hidden="false" customHeight="false" outlineLevel="0" collapsed="false">
      <c r="A51" s="23" t="s">
        <v>217</v>
      </c>
      <c r="B51" s="6" t="s">
        <v>83</v>
      </c>
      <c r="C51" s="7" t="s">
        <v>163</v>
      </c>
      <c r="D51" s="7" t="n">
        <v>3</v>
      </c>
      <c r="E51" s="7" t="s">
        <v>141</v>
      </c>
      <c r="F51" s="18" t="s">
        <v>139</v>
      </c>
      <c r="G51" s="24" t="n">
        <f aca="false">IF(F51="?","n.v.",IF(F51=E51,1,0))</f>
        <v>0</v>
      </c>
      <c r="H51" s="18"/>
      <c r="I51" s="6"/>
      <c r="J51" s="25"/>
    </row>
    <row r="52" customFormat="false" ht="15" hidden="false" customHeight="false" outlineLevel="0" collapsed="false">
      <c r="A52" s="23" t="s">
        <v>218</v>
      </c>
      <c r="B52" s="6" t="s">
        <v>83</v>
      </c>
      <c r="C52" s="7" t="s">
        <v>163</v>
      </c>
      <c r="D52" s="7" t="n">
        <v>4</v>
      </c>
      <c r="E52" s="7" t="s">
        <v>141</v>
      </c>
      <c r="F52" s="18" t="s">
        <v>139</v>
      </c>
      <c r="G52" s="24" t="n">
        <f aca="false">IF(F52="?","n.v.",IF(F52=E52,1,0))</f>
        <v>0</v>
      </c>
      <c r="H52" s="18"/>
      <c r="I52" s="6"/>
      <c r="J52" s="25"/>
    </row>
    <row r="53" customFormat="false" ht="15" hidden="false" customHeight="false" outlineLevel="0" collapsed="false">
      <c r="A53" s="23" t="s">
        <v>219</v>
      </c>
      <c r="B53" s="6" t="s">
        <v>84</v>
      </c>
      <c r="C53" s="7" t="s">
        <v>138</v>
      </c>
      <c r="D53" s="7" t="n">
        <v>1</v>
      </c>
      <c r="E53" s="7" t="s">
        <v>139</v>
      </c>
      <c r="F53" s="18" t="s">
        <v>139</v>
      </c>
      <c r="G53" s="24" t="n">
        <f aca="false">IF(F53="?","n.v.",IF(F53=E53,1,0))</f>
        <v>1</v>
      </c>
      <c r="H53" s="18" t="n">
        <v>1</v>
      </c>
      <c r="I53" s="6"/>
      <c r="J53" s="25"/>
    </row>
    <row r="54" customFormat="false" ht="15" hidden="false" customHeight="false" outlineLevel="0" collapsed="false">
      <c r="A54" s="23" t="s">
        <v>220</v>
      </c>
      <c r="B54" s="6" t="s">
        <v>84</v>
      </c>
      <c r="C54" s="7" t="s">
        <v>138</v>
      </c>
      <c r="D54" s="7" t="n">
        <v>2</v>
      </c>
      <c r="E54" s="7" t="s">
        <v>141</v>
      </c>
      <c r="F54" s="18" t="s">
        <v>141</v>
      </c>
      <c r="G54" s="24" t="n">
        <f aca="false">IF(F54="?","n.v.",IF(F54=E54,1,0))</f>
        <v>1</v>
      </c>
      <c r="H54" s="18" t="n">
        <v>1</v>
      </c>
      <c r="I54" s="6"/>
      <c r="J54" s="25"/>
    </row>
    <row r="55" customFormat="false" ht="15" hidden="false" customHeight="false" outlineLevel="0" collapsed="false">
      <c r="A55" s="23" t="s">
        <v>221</v>
      </c>
      <c r="B55" s="6" t="s">
        <v>84</v>
      </c>
      <c r="C55" s="7" t="s">
        <v>138</v>
      </c>
      <c r="D55" s="7" t="n">
        <v>3</v>
      </c>
      <c r="E55" s="7" t="s">
        <v>141</v>
      </c>
      <c r="F55" s="18" t="s">
        <v>141</v>
      </c>
      <c r="G55" s="24" t="n">
        <f aca="false">IF(F55="?","n.v.",IF(F55=E55,1,0))</f>
        <v>1</v>
      </c>
      <c r="H55" s="18" t="n">
        <v>1</v>
      </c>
      <c r="I55" s="6"/>
      <c r="J55" s="25"/>
    </row>
    <row r="56" customFormat="false" ht="15" hidden="false" customHeight="false" outlineLevel="0" collapsed="false">
      <c r="A56" s="23" t="s">
        <v>222</v>
      </c>
      <c r="B56" s="6" t="s">
        <v>84</v>
      </c>
      <c r="C56" s="7" t="s">
        <v>145</v>
      </c>
      <c r="D56" s="7" t="n">
        <v>1</v>
      </c>
      <c r="E56" s="7" t="s">
        <v>141</v>
      </c>
      <c r="F56" s="18" t="s">
        <v>141</v>
      </c>
      <c r="G56" s="24" t="n">
        <f aca="false">IF(F56="?","n.v.",IF(F56=E56,1,0))</f>
        <v>1</v>
      </c>
      <c r="H56" s="18" t="n">
        <v>2</v>
      </c>
      <c r="I56" s="6" t="s">
        <v>223</v>
      </c>
      <c r="J56" s="25"/>
    </row>
    <row r="57" customFormat="false" ht="15" hidden="false" customHeight="false" outlineLevel="0" collapsed="false">
      <c r="A57" s="23" t="s">
        <v>224</v>
      </c>
      <c r="B57" s="6" t="s">
        <v>84</v>
      </c>
      <c r="C57" s="7" t="s">
        <v>145</v>
      </c>
      <c r="D57" s="7" t="n">
        <v>2</v>
      </c>
      <c r="E57" s="7" t="s">
        <v>139</v>
      </c>
      <c r="F57" s="18" t="s">
        <v>139</v>
      </c>
      <c r="G57" s="24" t="n">
        <f aca="false">IF(F57="?","n.v.",IF(F57=E57,1,0))</f>
        <v>1</v>
      </c>
      <c r="H57" s="18" t="n">
        <v>2</v>
      </c>
      <c r="I57" s="6"/>
      <c r="J57" s="25"/>
    </row>
    <row r="58" customFormat="false" ht="23.85" hidden="false" customHeight="false" outlineLevel="0" collapsed="false">
      <c r="A58" s="23" t="s">
        <v>225</v>
      </c>
      <c r="B58" s="6" t="s">
        <v>84</v>
      </c>
      <c r="C58" s="7" t="s">
        <v>145</v>
      </c>
      <c r="D58" s="7" t="n">
        <v>3</v>
      </c>
      <c r="E58" s="7" t="s">
        <v>139</v>
      </c>
      <c r="F58" s="18" t="s">
        <v>141</v>
      </c>
      <c r="G58" s="24" t="n">
        <f aca="false">IF(F58="?","n.v.",IF(F58=E58,1,0))</f>
        <v>0</v>
      </c>
      <c r="H58" s="18" t="n">
        <v>3</v>
      </c>
      <c r="I58" s="6" t="s">
        <v>226</v>
      </c>
      <c r="J58" s="25" t="s">
        <v>227</v>
      </c>
    </row>
    <row r="59" customFormat="false" ht="15" hidden="false" customHeight="false" outlineLevel="0" collapsed="false">
      <c r="A59" s="23" t="s">
        <v>228</v>
      </c>
      <c r="B59" s="6" t="s">
        <v>84</v>
      </c>
      <c r="C59" s="7" t="s">
        <v>150</v>
      </c>
      <c r="D59" s="7" t="n">
        <v>1</v>
      </c>
      <c r="E59" s="7" t="s">
        <v>139</v>
      </c>
      <c r="F59" s="18" t="s">
        <v>141</v>
      </c>
      <c r="G59" s="24" t="n">
        <f aca="false">IF(F59="?","n.v.",IF(F59=E59,1,0))</f>
        <v>0</v>
      </c>
      <c r="H59" s="18" t="n">
        <v>3</v>
      </c>
      <c r="I59" s="6" t="s">
        <v>229</v>
      </c>
      <c r="J59" s="25"/>
    </row>
    <row r="60" customFormat="false" ht="15" hidden="false" customHeight="false" outlineLevel="0" collapsed="false">
      <c r="A60" s="23" t="s">
        <v>230</v>
      </c>
      <c r="B60" s="6" t="s">
        <v>84</v>
      </c>
      <c r="C60" s="7" t="s">
        <v>150</v>
      </c>
      <c r="D60" s="7" t="n">
        <v>2</v>
      </c>
      <c r="E60" s="7" t="s">
        <v>139</v>
      </c>
      <c r="F60" s="18" t="s">
        <v>139</v>
      </c>
      <c r="G60" s="24" t="n">
        <f aca="false">IF(F60="?","n.v.",IF(F60=E60,1,0))</f>
        <v>1</v>
      </c>
      <c r="H60" s="18" t="n">
        <v>3</v>
      </c>
      <c r="I60" s="6"/>
      <c r="J60" s="25"/>
    </row>
    <row r="61" customFormat="false" ht="15" hidden="false" customHeight="false" outlineLevel="0" collapsed="false">
      <c r="A61" s="23" t="s">
        <v>231</v>
      </c>
      <c r="B61" s="6" t="s">
        <v>84</v>
      </c>
      <c r="C61" s="7" t="s">
        <v>150</v>
      </c>
      <c r="D61" s="7" t="n">
        <v>3</v>
      </c>
      <c r="E61" s="7" t="s">
        <v>141</v>
      </c>
      <c r="F61" s="18" t="s">
        <v>141</v>
      </c>
      <c r="G61" s="24" t="n">
        <f aca="false">IF(F61="?","n.v.",IF(F61=E61,1,0))</f>
        <v>1</v>
      </c>
      <c r="H61" s="18" t="n">
        <v>3</v>
      </c>
      <c r="I61" s="6" t="s">
        <v>232</v>
      </c>
      <c r="J61" s="25"/>
    </row>
    <row r="62" customFormat="false" ht="15" hidden="false" customHeight="false" outlineLevel="0" collapsed="false">
      <c r="A62" s="23" t="s">
        <v>233</v>
      </c>
      <c r="B62" s="6" t="s">
        <v>84</v>
      </c>
      <c r="C62" s="7" t="s">
        <v>156</v>
      </c>
      <c r="D62" s="7" t="n">
        <v>1</v>
      </c>
      <c r="E62" s="7" t="s">
        <v>141</v>
      </c>
      <c r="F62" s="18" t="s">
        <v>141</v>
      </c>
      <c r="G62" s="24" t="n">
        <f aca="false">IF(F62="?","n.v.",IF(F62=E62,1,0))</f>
        <v>1</v>
      </c>
      <c r="H62" s="18" t="n">
        <v>3</v>
      </c>
      <c r="I62" s="6" t="s">
        <v>234</v>
      </c>
      <c r="J62" s="25"/>
    </row>
    <row r="63" customFormat="false" ht="15" hidden="false" customHeight="false" outlineLevel="0" collapsed="false">
      <c r="A63" s="23" t="s">
        <v>235</v>
      </c>
      <c r="B63" s="6" t="s">
        <v>84</v>
      </c>
      <c r="C63" s="7" t="s">
        <v>156</v>
      </c>
      <c r="D63" s="7" t="n">
        <v>2</v>
      </c>
      <c r="E63" s="7" t="s">
        <v>139</v>
      </c>
      <c r="F63" s="18" t="s">
        <v>139</v>
      </c>
      <c r="G63" s="24" t="n">
        <f aca="false">IF(F63="?","n.v.",IF(F63=E63,1,0))</f>
        <v>1</v>
      </c>
      <c r="H63" s="18" t="n">
        <v>3</v>
      </c>
      <c r="I63" s="6"/>
      <c r="J63" s="25"/>
    </row>
    <row r="64" customFormat="false" ht="15" hidden="false" customHeight="false" outlineLevel="0" collapsed="false">
      <c r="A64" s="23" t="s">
        <v>236</v>
      </c>
      <c r="B64" s="6" t="s">
        <v>84</v>
      </c>
      <c r="C64" s="7" t="s">
        <v>156</v>
      </c>
      <c r="D64" s="7" t="n">
        <v>3</v>
      </c>
      <c r="E64" s="7" t="s">
        <v>141</v>
      </c>
      <c r="F64" s="18" t="s">
        <v>141</v>
      </c>
      <c r="G64" s="24" t="n">
        <f aca="false">IF(F64="?","n.v.",IF(F64=E64,1,0))</f>
        <v>1</v>
      </c>
      <c r="H64" s="18" t="n">
        <v>4</v>
      </c>
      <c r="I64" s="6" t="s">
        <v>237</v>
      </c>
      <c r="J64" s="25"/>
    </row>
    <row r="65" customFormat="false" ht="15" hidden="false" customHeight="false" outlineLevel="0" collapsed="false">
      <c r="A65" s="23" t="s">
        <v>238</v>
      </c>
      <c r="B65" s="6" t="s">
        <v>84</v>
      </c>
      <c r="C65" s="7" t="s">
        <v>163</v>
      </c>
      <c r="D65" s="7" t="n">
        <v>1</v>
      </c>
      <c r="E65" s="7" t="s">
        <v>141</v>
      </c>
      <c r="F65" s="18" t="s">
        <v>141</v>
      </c>
      <c r="G65" s="24" t="n">
        <f aca="false">IF(F65="?","n.v.",IF(F65=E65,1,0))</f>
        <v>1</v>
      </c>
      <c r="H65" s="18" t="n">
        <v>5</v>
      </c>
      <c r="I65" s="6" t="s">
        <v>239</v>
      </c>
      <c r="J65" s="25" t="s">
        <v>240</v>
      </c>
    </row>
    <row r="66" customFormat="false" ht="15" hidden="false" customHeight="false" outlineLevel="0" collapsed="false">
      <c r="A66" s="23" t="s">
        <v>241</v>
      </c>
      <c r="B66" s="6" t="s">
        <v>84</v>
      </c>
      <c r="C66" s="7" t="s">
        <v>163</v>
      </c>
      <c r="D66" s="7" t="n">
        <v>2</v>
      </c>
      <c r="E66" s="7" t="s">
        <v>141</v>
      </c>
      <c r="F66" s="18" t="s">
        <v>141</v>
      </c>
      <c r="G66" s="24" t="n">
        <f aca="false">IF(F66="?","n.v.",IF(F66=E66,1,0))</f>
        <v>1</v>
      </c>
      <c r="H66" s="18" t="n">
        <v>5</v>
      </c>
      <c r="I66" s="6" t="s">
        <v>242</v>
      </c>
      <c r="J66" s="25"/>
    </row>
    <row r="67" customFormat="false" ht="23.85" hidden="false" customHeight="false" outlineLevel="0" collapsed="false">
      <c r="A67" s="23" t="s">
        <v>243</v>
      </c>
      <c r="B67" s="6" t="s">
        <v>84</v>
      </c>
      <c r="C67" s="7" t="s">
        <v>163</v>
      </c>
      <c r="D67" s="7" t="n">
        <v>3</v>
      </c>
      <c r="E67" s="7" t="s">
        <v>141</v>
      </c>
      <c r="F67" s="18" t="s">
        <v>139</v>
      </c>
      <c r="G67" s="24" t="n">
        <f aca="false">IF(F67="?","n.v.",IF(F67=E67,1,0))</f>
        <v>0</v>
      </c>
      <c r="H67" s="18" t="n">
        <v>4</v>
      </c>
      <c r="I67" s="6" t="s">
        <v>244</v>
      </c>
      <c r="J67" s="25" t="s">
        <v>245</v>
      </c>
    </row>
    <row r="68" customFormat="false" ht="15" hidden="false" customHeight="false" outlineLevel="0" collapsed="false">
      <c r="A68" s="23" t="s">
        <v>246</v>
      </c>
      <c r="B68" s="6" t="s">
        <v>84</v>
      </c>
      <c r="C68" s="7" t="s">
        <v>163</v>
      </c>
      <c r="D68" s="7" t="n">
        <v>4</v>
      </c>
      <c r="E68" s="7" t="s">
        <v>141</v>
      </c>
      <c r="F68" s="18" t="s">
        <v>141</v>
      </c>
      <c r="G68" s="24" t="n">
        <f aca="false">IF(F68="?","n.v.",IF(F68=E68,1,0))</f>
        <v>1</v>
      </c>
      <c r="H68" s="18" t="n">
        <v>5</v>
      </c>
      <c r="I68" s="6" t="s">
        <v>247</v>
      </c>
      <c r="J68" s="25"/>
    </row>
    <row r="69" customFormat="false" ht="15" hidden="false" customHeight="false" outlineLevel="0" collapsed="false">
      <c r="A69" s="23" t="s">
        <v>248</v>
      </c>
      <c r="B69" s="6" t="s">
        <v>85</v>
      </c>
      <c r="C69" s="7" t="s">
        <v>138</v>
      </c>
      <c r="D69" s="7" t="n">
        <v>1</v>
      </c>
      <c r="E69" s="7" t="s">
        <v>139</v>
      </c>
      <c r="F69" s="18" t="s">
        <v>139</v>
      </c>
      <c r="G69" s="24" t="n">
        <f aca="false">IF(F69="?","n.v.",IF(F69=E69,1,0))</f>
        <v>1</v>
      </c>
      <c r="H69" s="18" t="n">
        <v>1</v>
      </c>
      <c r="I69" s="6"/>
      <c r="J69" s="25"/>
    </row>
    <row r="70" customFormat="false" ht="15" hidden="false" customHeight="false" outlineLevel="0" collapsed="false">
      <c r="A70" s="23" t="s">
        <v>249</v>
      </c>
      <c r="B70" s="6" t="s">
        <v>85</v>
      </c>
      <c r="C70" s="7" t="s">
        <v>138</v>
      </c>
      <c r="D70" s="7" t="n">
        <v>2</v>
      </c>
      <c r="E70" s="7" t="s">
        <v>141</v>
      </c>
      <c r="F70" s="18" t="s">
        <v>141</v>
      </c>
      <c r="G70" s="24" t="n">
        <f aca="false">IF(F70="?","n.v.",IF(F70=E70,1,0))</f>
        <v>1</v>
      </c>
      <c r="H70" s="18" t="n">
        <v>1</v>
      </c>
      <c r="I70" s="6" t="s">
        <v>250</v>
      </c>
      <c r="J70" s="25"/>
    </row>
    <row r="71" customFormat="false" ht="15" hidden="false" customHeight="false" outlineLevel="0" collapsed="false">
      <c r="A71" s="23" t="s">
        <v>251</v>
      </c>
      <c r="B71" s="6" t="s">
        <v>85</v>
      </c>
      <c r="C71" s="7" t="s">
        <v>138</v>
      </c>
      <c r="D71" s="7" t="n">
        <v>3</v>
      </c>
      <c r="E71" s="7" t="s">
        <v>141</v>
      </c>
      <c r="F71" s="18" t="s">
        <v>141</v>
      </c>
      <c r="G71" s="24" t="n">
        <f aca="false">IF(F71="?","n.v.",IF(F71=E71,1,0))</f>
        <v>1</v>
      </c>
      <c r="H71" s="18" t="n">
        <v>1</v>
      </c>
      <c r="I71" s="6" t="s">
        <v>252</v>
      </c>
      <c r="J71" s="25"/>
    </row>
    <row r="72" customFormat="false" ht="15" hidden="false" customHeight="false" outlineLevel="0" collapsed="false">
      <c r="A72" s="23" t="s">
        <v>253</v>
      </c>
      <c r="B72" s="6" t="s">
        <v>85</v>
      </c>
      <c r="C72" s="7" t="s">
        <v>145</v>
      </c>
      <c r="D72" s="7" t="n">
        <v>1</v>
      </c>
      <c r="E72" s="7" t="s">
        <v>141</v>
      </c>
      <c r="F72" s="18" t="s">
        <v>141</v>
      </c>
      <c r="G72" s="24" t="n">
        <f aca="false">IF(F72="?","n.v.",IF(F72=E72,1,0))</f>
        <v>1</v>
      </c>
      <c r="H72" s="18" t="n">
        <v>2</v>
      </c>
      <c r="I72" s="6" t="s">
        <v>250</v>
      </c>
      <c r="J72" s="25"/>
    </row>
    <row r="73" customFormat="false" ht="15" hidden="false" customHeight="false" outlineLevel="0" collapsed="false">
      <c r="A73" s="23" t="s">
        <v>254</v>
      </c>
      <c r="B73" s="6" t="s">
        <v>85</v>
      </c>
      <c r="C73" s="7" t="s">
        <v>145</v>
      </c>
      <c r="D73" s="7" t="n">
        <v>2</v>
      </c>
      <c r="E73" s="7" t="s">
        <v>139</v>
      </c>
      <c r="F73" s="18" t="s">
        <v>139</v>
      </c>
      <c r="G73" s="24" t="n">
        <f aca="false">IF(F73="?","n.v.",IF(F73=E73,1,0))</f>
        <v>1</v>
      </c>
      <c r="H73" s="18" t="n">
        <v>3</v>
      </c>
      <c r="I73" s="6"/>
      <c r="J73" s="25"/>
    </row>
    <row r="74" customFormat="false" ht="15" hidden="false" customHeight="false" outlineLevel="0" collapsed="false">
      <c r="A74" s="23" t="s">
        <v>255</v>
      </c>
      <c r="B74" s="6" t="s">
        <v>85</v>
      </c>
      <c r="C74" s="7" t="s">
        <v>145</v>
      </c>
      <c r="D74" s="7" t="n">
        <v>3</v>
      </c>
      <c r="E74" s="7" t="s">
        <v>139</v>
      </c>
      <c r="F74" s="18" t="s">
        <v>139</v>
      </c>
      <c r="G74" s="24" t="n">
        <f aca="false">IF(F74="?","n.v.",IF(F74=E74,1,0))</f>
        <v>1</v>
      </c>
      <c r="H74" s="18" t="n">
        <v>1</v>
      </c>
      <c r="I74" s="6"/>
      <c r="J74" s="25"/>
    </row>
    <row r="75" customFormat="false" ht="15" hidden="false" customHeight="false" outlineLevel="0" collapsed="false">
      <c r="A75" s="23" t="s">
        <v>256</v>
      </c>
      <c r="B75" s="6" t="s">
        <v>85</v>
      </c>
      <c r="C75" s="7" t="s">
        <v>150</v>
      </c>
      <c r="D75" s="7" t="n">
        <v>1</v>
      </c>
      <c r="E75" s="7" t="s">
        <v>139</v>
      </c>
      <c r="F75" s="18" t="s">
        <v>139</v>
      </c>
      <c r="G75" s="24" t="n">
        <f aca="false">IF(F75="?","n.v.",IF(F75=E75,1,0))</f>
        <v>1</v>
      </c>
      <c r="H75" s="18" t="n">
        <v>4</v>
      </c>
      <c r="I75" s="6"/>
      <c r="J75" s="25"/>
    </row>
    <row r="76" customFormat="false" ht="15" hidden="false" customHeight="false" outlineLevel="0" collapsed="false">
      <c r="A76" s="23" t="s">
        <v>257</v>
      </c>
      <c r="B76" s="6" t="s">
        <v>85</v>
      </c>
      <c r="C76" s="7" t="s">
        <v>150</v>
      </c>
      <c r="D76" s="7" t="n">
        <v>2</v>
      </c>
      <c r="E76" s="7" t="s">
        <v>139</v>
      </c>
      <c r="F76" s="18" t="s">
        <v>139</v>
      </c>
      <c r="G76" s="24" t="n">
        <f aca="false">IF(F76="?","n.v.",IF(F76=E76,1,0))</f>
        <v>1</v>
      </c>
      <c r="H76" s="18" t="n">
        <v>2</v>
      </c>
      <c r="I76" s="6"/>
      <c r="J76" s="25"/>
    </row>
    <row r="77" customFormat="false" ht="15" hidden="false" customHeight="false" outlineLevel="0" collapsed="false">
      <c r="A77" s="23" t="s">
        <v>258</v>
      </c>
      <c r="B77" s="6" t="s">
        <v>85</v>
      </c>
      <c r="C77" s="7" t="s">
        <v>150</v>
      </c>
      <c r="D77" s="7" t="n">
        <v>3</v>
      </c>
      <c r="E77" s="7" t="s">
        <v>141</v>
      </c>
      <c r="F77" s="18" t="s">
        <v>141</v>
      </c>
      <c r="G77" s="24" t="n">
        <f aca="false">IF(F77="?","n.v.",IF(F77=E77,1,0))</f>
        <v>1</v>
      </c>
      <c r="H77" s="18" t="n">
        <v>3</v>
      </c>
      <c r="I77" s="6" t="s">
        <v>250</v>
      </c>
      <c r="J77" s="25"/>
    </row>
    <row r="78" customFormat="false" ht="15" hidden="false" customHeight="false" outlineLevel="0" collapsed="false">
      <c r="A78" s="23" t="s">
        <v>259</v>
      </c>
      <c r="B78" s="6" t="s">
        <v>85</v>
      </c>
      <c r="C78" s="7" t="s">
        <v>156</v>
      </c>
      <c r="D78" s="7" t="n">
        <v>1</v>
      </c>
      <c r="E78" s="7" t="s">
        <v>141</v>
      </c>
      <c r="F78" s="18" t="s">
        <v>139</v>
      </c>
      <c r="G78" s="24" t="n">
        <f aca="false">IF(F78="?","n.v.",IF(F78=E78,1,0))</f>
        <v>0</v>
      </c>
      <c r="H78" s="18" t="n">
        <v>2</v>
      </c>
      <c r="I78" s="6"/>
      <c r="J78" s="25"/>
    </row>
    <row r="79" customFormat="false" ht="15" hidden="false" customHeight="false" outlineLevel="0" collapsed="false">
      <c r="A79" s="23" t="s">
        <v>260</v>
      </c>
      <c r="B79" s="6" t="s">
        <v>85</v>
      </c>
      <c r="C79" s="7" t="s">
        <v>156</v>
      </c>
      <c r="D79" s="7" t="n">
        <v>2</v>
      </c>
      <c r="E79" s="7" t="s">
        <v>139</v>
      </c>
      <c r="F79" s="18" t="s">
        <v>139</v>
      </c>
      <c r="G79" s="24" t="n">
        <f aca="false">IF(F79="?","n.v.",IF(F79=E79,1,0))</f>
        <v>1</v>
      </c>
      <c r="H79" s="18" t="n">
        <v>4</v>
      </c>
      <c r="I79" s="6"/>
      <c r="J79" s="25"/>
    </row>
    <row r="80" customFormat="false" ht="23.85" hidden="false" customHeight="false" outlineLevel="0" collapsed="false">
      <c r="A80" s="23" t="s">
        <v>261</v>
      </c>
      <c r="B80" s="6" t="s">
        <v>85</v>
      </c>
      <c r="C80" s="7" t="s">
        <v>156</v>
      </c>
      <c r="D80" s="7" t="n">
        <v>3</v>
      </c>
      <c r="E80" s="7" t="s">
        <v>141</v>
      </c>
      <c r="F80" s="18" t="s">
        <v>167</v>
      </c>
      <c r="G80" s="24" t="str">
        <f aca="false">IF(F80="?","n.v.",IF(F80=E80,1,0))</f>
        <v>n.v.</v>
      </c>
      <c r="H80" s="18" t="n">
        <v>1</v>
      </c>
      <c r="I80" s="6" t="s">
        <v>262</v>
      </c>
      <c r="J80" s="25" t="s">
        <v>263</v>
      </c>
    </row>
    <row r="81" customFormat="false" ht="15" hidden="false" customHeight="false" outlineLevel="0" collapsed="false">
      <c r="A81" s="23" t="s">
        <v>264</v>
      </c>
      <c r="B81" s="6" t="s">
        <v>85</v>
      </c>
      <c r="C81" s="7" t="s">
        <v>163</v>
      </c>
      <c r="D81" s="7" t="n">
        <v>1</v>
      </c>
      <c r="E81" s="7" t="s">
        <v>141</v>
      </c>
      <c r="F81" s="18" t="s">
        <v>141</v>
      </c>
      <c r="G81" s="24" t="n">
        <f aca="false">IF(F81="?","n.v.",IF(F81=E81,1,0))</f>
        <v>1</v>
      </c>
      <c r="H81" s="18" t="n">
        <v>5</v>
      </c>
      <c r="I81" s="6" t="s">
        <v>265</v>
      </c>
      <c r="J81" s="25"/>
    </row>
    <row r="82" customFormat="false" ht="15" hidden="false" customHeight="false" outlineLevel="0" collapsed="false">
      <c r="A82" s="23" t="s">
        <v>266</v>
      </c>
      <c r="B82" s="6" t="s">
        <v>85</v>
      </c>
      <c r="C82" s="7" t="s">
        <v>163</v>
      </c>
      <c r="D82" s="7" t="n">
        <v>2</v>
      </c>
      <c r="E82" s="7" t="s">
        <v>141</v>
      </c>
      <c r="F82" s="18" t="s">
        <v>141</v>
      </c>
      <c r="G82" s="24" t="n">
        <f aca="false">IF(F82="?","n.v.",IF(F82=E82,1,0))</f>
        <v>1</v>
      </c>
      <c r="H82" s="18" t="n">
        <v>2</v>
      </c>
      <c r="I82" s="6" t="s">
        <v>210</v>
      </c>
      <c r="J82" s="25"/>
    </row>
    <row r="83" customFormat="false" ht="15" hidden="false" customHeight="false" outlineLevel="0" collapsed="false">
      <c r="A83" s="23" t="s">
        <v>267</v>
      </c>
      <c r="B83" s="6" t="s">
        <v>85</v>
      </c>
      <c r="C83" s="7" t="s">
        <v>163</v>
      </c>
      <c r="D83" s="7" t="n">
        <v>3</v>
      </c>
      <c r="E83" s="7" t="s">
        <v>141</v>
      </c>
      <c r="F83" s="18" t="s">
        <v>139</v>
      </c>
      <c r="G83" s="24" t="n">
        <f aca="false">IF(F83="?","n.v.",IF(F83=E83,1,0))</f>
        <v>0</v>
      </c>
      <c r="H83" s="18" t="n">
        <v>5</v>
      </c>
      <c r="I83" s="6"/>
      <c r="J83" s="25"/>
    </row>
    <row r="84" customFormat="false" ht="15" hidden="false" customHeight="false" outlineLevel="0" collapsed="false">
      <c r="A84" s="23" t="s">
        <v>268</v>
      </c>
      <c r="B84" s="6" t="s">
        <v>85</v>
      </c>
      <c r="C84" s="7" t="s">
        <v>163</v>
      </c>
      <c r="D84" s="7" t="n">
        <v>4</v>
      </c>
      <c r="E84" s="7" t="s">
        <v>141</v>
      </c>
      <c r="F84" s="18" t="s">
        <v>139</v>
      </c>
      <c r="G84" s="24" t="n">
        <f aca="false">IF(F84="?","n.v.",IF(F84=E84,1,0))</f>
        <v>0</v>
      </c>
      <c r="H84" s="18" t="n">
        <v>2</v>
      </c>
      <c r="I84" s="6"/>
      <c r="J84" s="25"/>
    </row>
    <row r="86" customFormat="false" ht="15" hidden="false" customHeight="false" outlineLevel="0" collapsed="false">
      <c r="A86" s="3" t="s">
        <v>269</v>
      </c>
    </row>
    <row r="87" customFormat="false" ht="57.45" hidden="false" customHeight="false" outlineLevel="0" collapsed="false">
      <c r="A87" s="4"/>
      <c r="B87" s="4" t="s">
        <v>76</v>
      </c>
      <c r="C87" s="4" t="s">
        <v>270</v>
      </c>
      <c r="D87" s="4" t="s">
        <v>271</v>
      </c>
      <c r="E87" s="4" t="s">
        <v>90</v>
      </c>
      <c r="F87" s="4" t="s">
        <v>272</v>
      </c>
      <c r="G87" s="4" t="s">
        <v>273</v>
      </c>
    </row>
    <row r="88" customFormat="false" ht="15" hidden="false" customHeight="false" outlineLevel="0" collapsed="false">
      <c r="B88" s="5" t="s">
        <v>81</v>
      </c>
      <c r="C88" s="7" t="n">
        <f aca="false">COUNTIFS($B$5:$B$84,B88,$G$5:$G$84,"&lt;&gt;n.v.")</f>
        <v>15</v>
      </c>
      <c r="D88" s="7" t="n">
        <f aca="false">COUNTIFS($B$5:$B$84,B88,$G$5:$G$84,1)</f>
        <v>13</v>
      </c>
      <c r="E88" s="12" t="n">
        <f aca="false">IF(C88=0,0,D88/C88)</f>
        <v>0.866666666666667</v>
      </c>
      <c r="F88" s="7" t="n">
        <f aca="false">COUNTIFS($B$5:$B$84,B88,$E$5:$E$84,"Reale",$F$5:$F$84,"IA")</f>
        <v>1</v>
      </c>
      <c r="G88" s="7" t="n">
        <f aca="false">COUNTIFS($B$5:$B$84,B88,$E$5:$E$84,"IA",$F$5:$F$84,"Reale")</f>
        <v>1</v>
      </c>
    </row>
    <row r="89" customFormat="false" ht="15" hidden="false" customHeight="false" outlineLevel="0" collapsed="false">
      <c r="B89" s="5" t="s">
        <v>82</v>
      </c>
      <c r="C89" s="7" t="n">
        <f aca="false">COUNTIFS($B$5:$B$84,B89,$G$5:$G$84,"&lt;&gt;n.v.")</f>
        <v>16</v>
      </c>
      <c r="D89" s="7" t="n">
        <f aca="false">COUNTIFS($B$5:$B$84,B89,$G$5:$G$84,1)</f>
        <v>13</v>
      </c>
      <c r="E89" s="12" t="n">
        <f aca="false">IF(C89=0,0,D89/C89)</f>
        <v>0.8125</v>
      </c>
      <c r="F89" s="7" t="n">
        <f aca="false">COUNTIFS($B$5:$B$84,B89,$E$5:$E$84,"Reale",$F$5:$F$84,"IA")</f>
        <v>1</v>
      </c>
      <c r="G89" s="7" t="n">
        <f aca="false">COUNTIFS($B$5:$B$84,B89,$E$5:$E$84,"IA",$F$5:$F$84,"Reale")</f>
        <v>2</v>
      </c>
    </row>
    <row r="90" customFormat="false" ht="15" hidden="false" customHeight="false" outlineLevel="0" collapsed="false">
      <c r="B90" s="5" t="s">
        <v>83</v>
      </c>
      <c r="C90" s="7" t="n">
        <f aca="false">COUNTIFS($B$5:$B$84,B90,$G$5:$G$84,"&lt;&gt;n.v.")</f>
        <v>16</v>
      </c>
      <c r="D90" s="7" t="n">
        <f aca="false">COUNTIFS($B$5:$B$84,B90,$G$5:$G$84,1)</f>
        <v>11</v>
      </c>
      <c r="E90" s="12" t="n">
        <f aca="false">IF(C90=0,0,D90/C90)</f>
        <v>0.6875</v>
      </c>
      <c r="F90" s="7" t="n">
        <f aca="false">COUNTIFS($B$5:$B$84,B90,$E$5:$E$84,"Reale",$F$5:$F$84,"IA")</f>
        <v>1</v>
      </c>
      <c r="G90" s="7" t="n">
        <f aca="false">COUNTIFS($B$5:$B$84,B90,$E$5:$E$84,"IA",$F$5:$F$84,"Reale")</f>
        <v>4</v>
      </c>
    </row>
    <row r="91" customFormat="false" ht="15" hidden="false" customHeight="false" outlineLevel="0" collapsed="false">
      <c r="B91" s="5" t="s">
        <v>84</v>
      </c>
      <c r="C91" s="7" t="n">
        <f aca="false">COUNTIFS($B$5:$B$84,B91,$G$5:$G$84,"&lt;&gt;n.v.")</f>
        <v>16</v>
      </c>
      <c r="D91" s="7" t="n">
        <f aca="false">COUNTIFS($B$5:$B$84,B91,$G$5:$G$84,1)</f>
        <v>13</v>
      </c>
      <c r="E91" s="12" t="n">
        <f aca="false">IF(C91=0,0,D91/C91)</f>
        <v>0.8125</v>
      </c>
      <c r="F91" s="7" t="n">
        <f aca="false">COUNTIFS($B$5:$B$84,B91,$E$5:$E$84,"Reale",$F$5:$F$84,"IA")</f>
        <v>2</v>
      </c>
      <c r="G91" s="7" t="n">
        <f aca="false">COUNTIFS($B$5:$B$84,B91,$E$5:$E$84,"IA",$F$5:$F$84,"Reale")</f>
        <v>1</v>
      </c>
    </row>
    <row r="92" customFormat="false" ht="15" hidden="false" customHeight="false" outlineLevel="0" collapsed="false">
      <c r="B92" s="5" t="s">
        <v>85</v>
      </c>
      <c r="C92" s="7" t="n">
        <f aca="false">COUNTIFS($B$5:$B$84,B92,$G$5:$G$84,"&lt;&gt;n.v.")</f>
        <v>15</v>
      </c>
      <c r="D92" s="7" t="n">
        <f aca="false">COUNTIFS($B$5:$B$84,B92,$G$5:$G$84,1)</f>
        <v>12</v>
      </c>
      <c r="E92" s="12" t="n">
        <f aca="false">IF(C92=0,0,D92/C92)</f>
        <v>0.8</v>
      </c>
      <c r="F92" s="7" t="n">
        <f aca="false">COUNTIFS($B$5:$B$84,B92,$E$5:$E$84,"Reale",$F$5:$F$84,"IA")</f>
        <v>0</v>
      </c>
      <c r="G92" s="7" t="n">
        <f aca="false">COUNTIFS($B$5:$B$84,B92,$E$5:$E$84,"IA",$F$5:$F$84,"Reale")</f>
        <v>3</v>
      </c>
    </row>
    <row r="93" customFormat="false" ht="15" hidden="false" customHeight="false" outlineLevel="0" collapsed="false">
      <c r="B93" s="16" t="s">
        <v>274</v>
      </c>
      <c r="C93" s="20" t="n">
        <f aca="false">SUM(C88:C92)</f>
        <v>78</v>
      </c>
      <c r="D93" s="20" t="n">
        <f aca="false">SUM(D88:D92)</f>
        <v>62</v>
      </c>
      <c r="E93" s="26" t="n">
        <f aca="false">IF(C93=0,0,D93/C93)</f>
        <v>0.794871794871795</v>
      </c>
      <c r="F93" s="20" t="n">
        <f aca="false">SUM(F88:F92)</f>
        <v>5</v>
      </c>
      <c r="G93" s="20" t="n">
        <f aca="false">SUM(G88:G92)</f>
        <v>11</v>
      </c>
    </row>
    <row r="95" customFormat="false" ht="15" hidden="false" customHeight="false" outlineLevel="0" collapsed="false">
      <c r="A95" s="3" t="s">
        <v>275</v>
      </c>
    </row>
    <row r="96" customFormat="false" ht="35.05" hidden="false" customHeight="false" outlineLevel="0" collapsed="false">
      <c r="A96" s="4"/>
      <c r="B96" s="4" t="s">
        <v>89</v>
      </c>
      <c r="C96" s="4" t="s">
        <v>270</v>
      </c>
      <c r="D96" s="4" t="s">
        <v>271</v>
      </c>
      <c r="E96" s="4" t="s">
        <v>90</v>
      </c>
      <c r="F96" s="4" t="s">
        <v>276</v>
      </c>
    </row>
    <row r="97" customFormat="false" ht="15" hidden="false" customHeight="false" outlineLevel="0" collapsed="false">
      <c r="B97" s="5" t="s">
        <v>138</v>
      </c>
      <c r="C97" s="7" t="n">
        <f aca="false">COUNTIFS($C$5:$C$84,B97,$G$5:$G$84,"&lt;&gt;n.v.")</f>
        <v>15</v>
      </c>
      <c r="D97" s="7" t="n">
        <f aca="false">COUNTIFS($C$5:$C$84,B97,$G$5:$G$84,1)</f>
        <v>15</v>
      </c>
      <c r="E97" s="12" t="n">
        <f aca="false">IF(C97=0,0,D97/C97)</f>
        <v>1</v>
      </c>
      <c r="F97" s="11" t="n">
        <f aca="false">IFERROR(AVERAGEIF($C$5:$C$84,B97,$H$5:$H$84),"")</f>
        <v>1</v>
      </c>
    </row>
    <row r="98" customFormat="false" ht="15" hidden="false" customHeight="false" outlineLevel="0" collapsed="false">
      <c r="B98" s="5" t="s">
        <v>145</v>
      </c>
      <c r="C98" s="7" t="n">
        <f aca="false">COUNTIFS($C$5:$C$84,B98,$G$5:$G$84,"&lt;&gt;n.v.")</f>
        <v>15</v>
      </c>
      <c r="D98" s="7" t="n">
        <f aca="false">COUNTIFS($C$5:$C$84,B98,$G$5:$G$84,1)</f>
        <v>13</v>
      </c>
      <c r="E98" s="12" t="n">
        <f aca="false">IF(C98=0,0,D98/C98)</f>
        <v>0.866666666666667</v>
      </c>
      <c r="F98" s="11" t="n">
        <f aca="false">IFERROR(AVERAGEIF($C$5:$C$84,B98,$H$5:$H$84),"")</f>
        <v>2.16666666666667</v>
      </c>
    </row>
    <row r="99" customFormat="false" ht="15" hidden="false" customHeight="false" outlineLevel="0" collapsed="false">
      <c r="B99" s="5" t="s">
        <v>150</v>
      </c>
      <c r="C99" s="7" t="n">
        <f aca="false">COUNTIFS($C$5:$C$84,B99,$G$5:$G$84,"&lt;&gt;n.v.")</f>
        <v>15</v>
      </c>
      <c r="D99" s="7" t="n">
        <f aca="false">COUNTIFS($C$5:$C$84,B99,$G$5:$G$84,1)</f>
        <v>12</v>
      </c>
      <c r="E99" s="12" t="n">
        <f aca="false">IF(C99=0,0,D99/C99)</f>
        <v>0.8</v>
      </c>
      <c r="F99" s="11" t="n">
        <f aca="false">IFERROR(AVERAGEIF($C$5:$C$84,B99,$H$5:$H$84),"")</f>
        <v>2.9</v>
      </c>
    </row>
    <row r="100" customFormat="false" ht="15" hidden="false" customHeight="false" outlineLevel="0" collapsed="false">
      <c r="B100" s="5" t="s">
        <v>156</v>
      </c>
      <c r="C100" s="7" t="n">
        <f aca="false">COUNTIFS($C$5:$C$84,B100,$G$5:$G$84,"&lt;&gt;n.v.")</f>
        <v>14</v>
      </c>
      <c r="D100" s="7" t="n">
        <f aca="false">COUNTIFS($C$5:$C$84,B100,$G$5:$G$84,1)</f>
        <v>12</v>
      </c>
      <c r="E100" s="12" t="n">
        <f aca="false">IF(C100=0,0,D100/C100)</f>
        <v>0.857142857142857</v>
      </c>
      <c r="F100" s="11" t="n">
        <f aca="false">IFERROR(AVERAGEIF($C$5:$C$84,B100,$H$5:$H$84),"")</f>
        <v>3.25</v>
      </c>
    </row>
    <row r="101" customFormat="false" ht="15" hidden="false" customHeight="false" outlineLevel="0" collapsed="false">
      <c r="B101" s="5" t="s">
        <v>163</v>
      </c>
      <c r="C101" s="7" t="n">
        <f aca="false">COUNTIFS($C$5:$C$84,B101,$G$5:$G$84,"&lt;&gt;n.v.")</f>
        <v>19</v>
      </c>
      <c r="D101" s="7" t="n">
        <f aca="false">COUNTIFS($C$5:$C$84,B101,$G$5:$G$84,1)</f>
        <v>10</v>
      </c>
      <c r="E101" s="12" t="n">
        <f aca="false">IF(C101=0,0,D101/C101)</f>
        <v>0.526315789473684</v>
      </c>
      <c r="F101" s="11" t="n">
        <f aca="false">IFERROR(AVERAGEIF($C$5:$C$84,B101,$H$5:$H$84),"")</f>
        <v>4.53333333333333</v>
      </c>
    </row>
  </sheetData>
  <autoFilter ref="A4:J84"/>
  <conditionalFormatting sqref="G5:G84">
    <cfRule type="cellIs" priority="2" operator="equal" aboveAverage="0" equalAverage="0" bottom="0" percent="0" rank="0" text="" dxfId="8">
      <formula>1</formula>
    </cfRule>
    <cfRule type="cellIs" priority="3" operator="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9" min="7" style="0" width="12"/>
    <col collapsed="false" customWidth="true" hidden="false" outlineLevel="0" max="11" min="10" style="0" width="10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23.85" hidden="false" customHeight="false" outlineLevel="0" collapsed="false">
      <c r="A4" s="4" t="s">
        <v>89</v>
      </c>
      <c r="B4" s="4" t="s">
        <v>130</v>
      </c>
      <c r="C4" s="4" t="s">
        <v>131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279</v>
      </c>
      <c r="J4" s="4" t="s">
        <v>270</v>
      </c>
      <c r="K4" s="4" t="s">
        <v>280</v>
      </c>
      <c r="L4" s="4" t="s">
        <v>281</v>
      </c>
    </row>
    <row r="5" customFormat="false" ht="15" hidden="false" customHeight="false" outlineLevel="0" collapsed="false">
      <c r="A5" s="27" t="s">
        <v>138</v>
      </c>
      <c r="B5" s="7" t="n">
        <v>1</v>
      </c>
      <c r="C5" s="28" t="s">
        <v>139</v>
      </c>
      <c r="D5" s="24" t="str">
        <f aca="false">INDEX('F1 Foto (dati)'!$F$5:$F$84,MATCH("TON|L0|1",'F1 Foto (dati)'!$A$5:$A$84,0))</f>
        <v>Reale</v>
      </c>
      <c r="E5" s="24" t="str">
        <f aca="false">INDEX('F1 Foto (dati)'!$F$5:$F$84,MATCH("DIV|L0|1",'F1 Foto (dati)'!$A$5:$A$84,0))</f>
        <v>Reale</v>
      </c>
      <c r="F5" s="24" t="str">
        <f aca="false">INDEX('F1 Foto (dati)'!$F$5:$F$84,MATCH("BIS|L0|1",'F1 Foto (dati)'!$A$5:$A$84,0))</f>
        <v>Reale</v>
      </c>
      <c r="G5" s="24" t="str">
        <f aca="false">INDEX('F1 Foto (dati)'!$F$5:$F$84,MATCH("PAS|L0|1",'F1 Foto (dati)'!$A$5:$A$84,0))</f>
        <v>Reale</v>
      </c>
      <c r="H5" s="24" t="str">
        <f aca="false">INDEX('F1 Foto (dati)'!$F$5:$F$84,MATCH("DRE|L0|1",'F1 Foto (dati)'!$A$5:$A$84,0))</f>
        <v>Reale</v>
      </c>
      <c r="I5" s="7" t="n">
        <f aca="false">COUNTIFS('F1 Foto (dati)'!$C$5:$C$84,A5,'F1 Foto (dati)'!$D$5:$D$84,B5,'F1 Foto (dati)'!$G$5:$G$84,1)</f>
        <v>5</v>
      </c>
      <c r="J5" s="7" t="n">
        <f aca="false">COUNTIFS('F1 Foto (dati)'!$C$5:$C$84,A5,'F1 Foto (dati)'!$D$5:$D$84,B5,'F1 Foto (dati)'!$G$5:$G$84,"&lt;&gt;n.v.")</f>
        <v>5</v>
      </c>
      <c r="K5" s="12" t="n">
        <f aca="false">IF(J5=0,0,I5/J5)</f>
        <v>1</v>
      </c>
      <c r="L5" s="6"/>
    </row>
    <row r="6" customFormat="false" ht="15" hidden="false" customHeight="false" outlineLevel="0" collapsed="false">
      <c r="A6" s="27" t="s">
        <v>138</v>
      </c>
      <c r="B6" s="7" t="n">
        <v>2</v>
      </c>
      <c r="C6" s="28" t="s">
        <v>141</v>
      </c>
      <c r="D6" s="24" t="str">
        <f aca="false">INDEX('F1 Foto (dati)'!$F$5:$F$84,MATCH("TON|L0|2",'F1 Foto (dati)'!$A$5:$A$84,0))</f>
        <v>IA</v>
      </c>
      <c r="E6" s="24" t="str">
        <f aca="false">INDEX('F1 Foto (dati)'!$F$5:$F$84,MATCH("DIV|L0|2",'F1 Foto (dati)'!$A$5:$A$84,0))</f>
        <v>IA</v>
      </c>
      <c r="F6" s="24" t="str">
        <f aca="false">INDEX('F1 Foto (dati)'!$F$5:$F$84,MATCH("BIS|L0|2",'F1 Foto (dati)'!$A$5:$A$84,0))</f>
        <v>IA</v>
      </c>
      <c r="G6" s="24" t="str">
        <f aca="false">INDEX('F1 Foto (dati)'!$F$5:$F$84,MATCH("PAS|L0|2",'F1 Foto (dati)'!$A$5:$A$84,0))</f>
        <v>IA</v>
      </c>
      <c r="H6" s="24" t="str">
        <f aca="false">INDEX('F1 Foto (dati)'!$F$5:$F$84,MATCH("DRE|L0|2",'F1 Foto (dati)'!$A$5:$A$84,0))</f>
        <v>IA</v>
      </c>
      <c r="I6" s="7" t="n">
        <f aca="false">COUNTIFS('F1 Foto (dati)'!$C$5:$C$84,A6,'F1 Foto (dati)'!$D$5:$D$84,B6,'F1 Foto (dati)'!$G$5:$G$84,1)</f>
        <v>5</v>
      </c>
      <c r="J6" s="7" t="n">
        <f aca="false">COUNTIFS('F1 Foto (dati)'!$C$5:$C$84,A6,'F1 Foto (dati)'!$D$5:$D$84,B6,'F1 Foto (dati)'!$G$5:$G$84,"&lt;&gt;n.v.")</f>
        <v>5</v>
      </c>
      <c r="K6" s="12" t="n">
        <f aca="false">IF(J6=0,0,I6/J6)</f>
        <v>1</v>
      </c>
      <c r="L6" s="6"/>
    </row>
    <row r="7" customFormat="false" ht="15" hidden="false" customHeight="false" outlineLevel="0" collapsed="false">
      <c r="A7" s="27" t="s">
        <v>138</v>
      </c>
      <c r="B7" s="7" t="n">
        <v>3</v>
      </c>
      <c r="C7" s="28" t="s">
        <v>141</v>
      </c>
      <c r="D7" s="24" t="str">
        <f aca="false">INDEX('F1 Foto (dati)'!$F$5:$F$84,MATCH("TON|L0|3",'F1 Foto (dati)'!$A$5:$A$84,0))</f>
        <v>IA</v>
      </c>
      <c r="E7" s="24" t="str">
        <f aca="false">INDEX('F1 Foto (dati)'!$F$5:$F$84,MATCH("DIV|L0|3",'F1 Foto (dati)'!$A$5:$A$84,0))</f>
        <v>IA</v>
      </c>
      <c r="F7" s="24" t="str">
        <f aca="false">INDEX('F1 Foto (dati)'!$F$5:$F$84,MATCH("BIS|L0|3",'F1 Foto (dati)'!$A$5:$A$84,0))</f>
        <v>IA</v>
      </c>
      <c r="G7" s="24" t="str">
        <f aca="false">INDEX('F1 Foto (dati)'!$F$5:$F$84,MATCH("PAS|L0|3",'F1 Foto (dati)'!$A$5:$A$84,0))</f>
        <v>IA</v>
      </c>
      <c r="H7" s="24" t="str">
        <f aca="false">INDEX('F1 Foto (dati)'!$F$5:$F$84,MATCH("DRE|L0|3",'F1 Foto (dati)'!$A$5:$A$84,0))</f>
        <v>IA</v>
      </c>
      <c r="I7" s="7" t="n">
        <f aca="false">COUNTIFS('F1 Foto (dati)'!$C$5:$C$84,A7,'F1 Foto (dati)'!$D$5:$D$84,B7,'F1 Foto (dati)'!$G$5:$G$84,1)</f>
        <v>5</v>
      </c>
      <c r="J7" s="7" t="n">
        <f aca="false">COUNTIFS('F1 Foto (dati)'!$C$5:$C$84,A7,'F1 Foto (dati)'!$D$5:$D$84,B7,'F1 Foto (dati)'!$G$5:$G$84,"&lt;&gt;n.v.")</f>
        <v>5</v>
      </c>
      <c r="K7" s="12" t="n">
        <f aca="false">IF(J7=0,0,I7/J7)</f>
        <v>1</v>
      </c>
      <c r="L7" s="6"/>
    </row>
    <row r="8" customFormat="false" ht="15" hidden="false" customHeight="false" outlineLevel="0" collapsed="false">
      <c r="A8" s="27" t="s">
        <v>145</v>
      </c>
      <c r="B8" s="7" t="n">
        <v>1</v>
      </c>
      <c r="C8" s="28" t="s">
        <v>141</v>
      </c>
      <c r="D8" s="24" t="str">
        <f aca="false">INDEX('F1 Foto (dati)'!$F$5:$F$84,MATCH("TON|L1|1",'F1 Foto (dati)'!$A$5:$A$84,0))</f>
        <v>IA</v>
      </c>
      <c r="E8" s="24" t="str">
        <f aca="false">INDEX('F1 Foto (dati)'!$F$5:$F$84,MATCH("DIV|L1|1",'F1 Foto (dati)'!$A$5:$A$84,0))</f>
        <v>IA</v>
      </c>
      <c r="F8" s="24" t="str">
        <f aca="false">INDEX('F1 Foto (dati)'!$F$5:$F$84,MATCH("BIS|L1|1",'F1 Foto (dati)'!$A$5:$A$84,0))</f>
        <v>IA</v>
      </c>
      <c r="G8" s="24" t="str">
        <f aca="false">INDEX('F1 Foto (dati)'!$F$5:$F$84,MATCH("PAS|L1|1",'F1 Foto (dati)'!$A$5:$A$84,0))</f>
        <v>IA</v>
      </c>
      <c r="H8" s="24" t="str">
        <f aca="false">INDEX('F1 Foto (dati)'!$F$5:$F$84,MATCH("DRE|L1|1",'F1 Foto (dati)'!$A$5:$A$84,0))</f>
        <v>IA</v>
      </c>
      <c r="I8" s="7" t="n">
        <f aca="false">COUNTIFS('F1 Foto (dati)'!$C$5:$C$84,A8,'F1 Foto (dati)'!$D$5:$D$84,B8,'F1 Foto (dati)'!$G$5:$G$84,1)</f>
        <v>5</v>
      </c>
      <c r="J8" s="7" t="n">
        <f aca="false">COUNTIFS('F1 Foto (dati)'!$C$5:$C$84,A8,'F1 Foto (dati)'!$D$5:$D$84,B8,'F1 Foto (dati)'!$G$5:$G$84,"&lt;&gt;n.v.")</f>
        <v>5</v>
      </c>
      <c r="K8" s="12" t="n">
        <f aca="false">IF(J8=0,0,I8/J8)</f>
        <v>1</v>
      </c>
      <c r="L8" s="6"/>
    </row>
    <row r="9" customFormat="false" ht="15" hidden="false" customHeight="false" outlineLevel="0" collapsed="false">
      <c r="A9" s="27" t="s">
        <v>145</v>
      </c>
      <c r="B9" s="7" t="n">
        <v>2</v>
      </c>
      <c r="C9" s="28" t="s">
        <v>139</v>
      </c>
      <c r="D9" s="24" t="str">
        <f aca="false">INDEX('F1 Foto (dati)'!$F$5:$F$84,MATCH("TON|L1|2",'F1 Foto (dati)'!$A$5:$A$84,0))</f>
        <v>Reale</v>
      </c>
      <c r="E9" s="24" t="str">
        <f aca="false">INDEX('F1 Foto (dati)'!$F$5:$F$84,MATCH("DIV|L1|2",'F1 Foto (dati)'!$A$5:$A$84,0))</f>
        <v>Reale</v>
      </c>
      <c r="F9" s="24" t="str">
        <f aca="false">INDEX('F1 Foto (dati)'!$F$5:$F$84,MATCH("BIS|L1|2",'F1 Foto (dati)'!$A$5:$A$84,0))</f>
        <v>Reale</v>
      </c>
      <c r="G9" s="24" t="str">
        <f aca="false">INDEX('F1 Foto (dati)'!$F$5:$F$84,MATCH("PAS|L1|2",'F1 Foto (dati)'!$A$5:$A$84,0))</f>
        <v>Reale</v>
      </c>
      <c r="H9" s="24" t="str">
        <f aca="false">INDEX('F1 Foto (dati)'!$F$5:$F$84,MATCH("DRE|L1|2",'F1 Foto (dati)'!$A$5:$A$84,0))</f>
        <v>Reale</v>
      </c>
      <c r="I9" s="7" t="n">
        <f aca="false">COUNTIFS('F1 Foto (dati)'!$C$5:$C$84,A9,'F1 Foto (dati)'!$D$5:$D$84,B9,'F1 Foto (dati)'!$G$5:$G$84,1)</f>
        <v>5</v>
      </c>
      <c r="J9" s="7" t="n">
        <f aca="false">COUNTIFS('F1 Foto (dati)'!$C$5:$C$84,A9,'F1 Foto (dati)'!$D$5:$D$84,B9,'F1 Foto (dati)'!$G$5:$G$84,"&lt;&gt;n.v.")</f>
        <v>5</v>
      </c>
      <c r="K9" s="12" t="n">
        <f aca="false">IF(J9=0,0,I9/J9)</f>
        <v>1</v>
      </c>
      <c r="L9" s="6"/>
    </row>
    <row r="10" customFormat="false" ht="15" hidden="false" customHeight="false" outlineLevel="0" collapsed="false">
      <c r="A10" s="27" t="s">
        <v>145</v>
      </c>
      <c r="B10" s="7" t="n">
        <v>3</v>
      </c>
      <c r="C10" s="28" t="s">
        <v>139</v>
      </c>
      <c r="D10" s="24" t="str">
        <f aca="false">INDEX('F1 Foto (dati)'!$F$5:$F$84,MATCH("TON|L1|3",'F1 Foto (dati)'!$A$5:$A$84,0))</f>
        <v>Reale</v>
      </c>
      <c r="E10" s="24" t="str">
        <f aca="false">INDEX('F1 Foto (dati)'!$F$5:$F$84,MATCH("DIV|L1|3",'F1 Foto (dati)'!$A$5:$A$84,0))</f>
        <v>Reale</v>
      </c>
      <c r="F10" s="24" t="str">
        <f aca="false">INDEX('F1 Foto (dati)'!$F$5:$F$84,MATCH("BIS|L1|3",'F1 Foto (dati)'!$A$5:$A$84,0))</f>
        <v>IA</v>
      </c>
      <c r="G10" s="24" t="str">
        <f aca="false">INDEX('F1 Foto (dati)'!$F$5:$F$84,MATCH("PAS|L1|3",'F1 Foto (dati)'!$A$5:$A$84,0))</f>
        <v>IA</v>
      </c>
      <c r="H10" s="24" t="str">
        <f aca="false">INDEX('F1 Foto (dati)'!$F$5:$F$84,MATCH("DRE|L1|3",'F1 Foto (dati)'!$A$5:$A$84,0))</f>
        <v>Reale</v>
      </c>
      <c r="I10" s="7" t="n">
        <f aca="false">COUNTIFS('F1 Foto (dati)'!$C$5:$C$84,A10,'F1 Foto (dati)'!$D$5:$D$84,B10,'F1 Foto (dati)'!$G$5:$G$84,1)</f>
        <v>3</v>
      </c>
      <c r="J10" s="7" t="n">
        <f aca="false">COUNTIFS('F1 Foto (dati)'!$C$5:$C$84,A10,'F1 Foto (dati)'!$D$5:$D$84,B10,'F1 Foto (dati)'!$G$5:$G$84,"&lt;&gt;n.v.")</f>
        <v>5</v>
      </c>
      <c r="K10" s="12" t="n">
        <f aca="false">IF(J10=0,0,I10/J10)</f>
        <v>0.6</v>
      </c>
      <c r="L10" s="6" t="s">
        <v>282</v>
      </c>
    </row>
    <row r="11" customFormat="false" ht="23.85" hidden="false" customHeight="false" outlineLevel="0" collapsed="false">
      <c r="A11" s="27" t="s">
        <v>150</v>
      </c>
      <c r="B11" s="7" t="n">
        <v>1</v>
      </c>
      <c r="C11" s="28" t="s">
        <v>139</v>
      </c>
      <c r="D11" s="24" t="str">
        <f aca="false">INDEX('F1 Foto (dati)'!$F$5:$F$84,MATCH("TON|L2|1",'F1 Foto (dati)'!$A$5:$A$84,0))</f>
        <v>IA</v>
      </c>
      <c r="E11" s="24" t="str">
        <f aca="false">INDEX('F1 Foto (dati)'!$F$5:$F$84,MATCH("DIV|L2|1",'F1 Foto (dati)'!$A$5:$A$84,0))</f>
        <v>IA</v>
      </c>
      <c r="F11" s="24" t="str">
        <f aca="false">INDEX('F1 Foto (dati)'!$F$5:$F$84,MATCH("BIS|L2|1",'F1 Foto (dati)'!$A$5:$A$84,0))</f>
        <v>Reale</v>
      </c>
      <c r="G11" s="24" t="str">
        <f aca="false">INDEX('F1 Foto (dati)'!$F$5:$F$84,MATCH("PAS|L2|1",'F1 Foto (dati)'!$A$5:$A$84,0))</f>
        <v>IA</v>
      </c>
      <c r="H11" s="24" t="str">
        <f aca="false">INDEX('F1 Foto (dati)'!$F$5:$F$84,MATCH("DRE|L2|1",'F1 Foto (dati)'!$A$5:$A$84,0))</f>
        <v>Reale</v>
      </c>
      <c r="I11" s="7" t="n">
        <f aca="false">COUNTIFS('F1 Foto (dati)'!$C$5:$C$84,A11,'F1 Foto (dati)'!$D$5:$D$84,B11,'F1 Foto (dati)'!$G$5:$G$84,1)</f>
        <v>2</v>
      </c>
      <c r="J11" s="7" t="n">
        <f aca="false">COUNTIFS('F1 Foto (dati)'!$C$5:$C$84,A11,'F1 Foto (dati)'!$D$5:$D$84,B11,'F1 Foto (dati)'!$G$5:$G$84,"&lt;&gt;n.v.")</f>
        <v>5</v>
      </c>
      <c r="K11" s="12" t="n">
        <f aca="false">IF(J11=0,0,I11/J11)</f>
        <v>0.4</v>
      </c>
      <c r="L11" s="6" t="s">
        <v>283</v>
      </c>
    </row>
    <row r="12" customFormat="false" ht="15" hidden="false" customHeight="false" outlineLevel="0" collapsed="false">
      <c r="A12" s="27" t="s">
        <v>150</v>
      </c>
      <c r="B12" s="7" t="n">
        <v>2</v>
      </c>
      <c r="C12" s="28" t="s">
        <v>139</v>
      </c>
      <c r="D12" s="24" t="str">
        <f aca="false">INDEX('F1 Foto (dati)'!$F$5:$F$84,MATCH("TON|L2|2",'F1 Foto (dati)'!$A$5:$A$84,0))</f>
        <v>Reale</v>
      </c>
      <c r="E12" s="24" t="str">
        <f aca="false">INDEX('F1 Foto (dati)'!$F$5:$F$84,MATCH("DIV|L2|2",'F1 Foto (dati)'!$A$5:$A$84,0))</f>
        <v>Reale</v>
      </c>
      <c r="F12" s="24" t="str">
        <f aca="false">INDEX('F1 Foto (dati)'!$F$5:$F$84,MATCH("BIS|L2|2",'F1 Foto (dati)'!$A$5:$A$84,0))</f>
        <v>Reale</v>
      </c>
      <c r="G12" s="24" t="str">
        <f aca="false">INDEX('F1 Foto (dati)'!$F$5:$F$84,MATCH("PAS|L2|2",'F1 Foto (dati)'!$A$5:$A$84,0))</f>
        <v>Reale</v>
      </c>
      <c r="H12" s="24" t="str">
        <f aca="false">INDEX('F1 Foto (dati)'!$F$5:$F$84,MATCH("DRE|L2|2",'F1 Foto (dati)'!$A$5:$A$84,0))</f>
        <v>Reale</v>
      </c>
      <c r="I12" s="7" t="n">
        <f aca="false">COUNTIFS('F1 Foto (dati)'!$C$5:$C$84,A12,'F1 Foto (dati)'!$D$5:$D$84,B12,'F1 Foto (dati)'!$G$5:$G$84,1)</f>
        <v>5</v>
      </c>
      <c r="J12" s="7" t="n">
        <f aca="false">COUNTIFS('F1 Foto (dati)'!$C$5:$C$84,A12,'F1 Foto (dati)'!$D$5:$D$84,B12,'F1 Foto (dati)'!$G$5:$G$84,"&lt;&gt;n.v.")</f>
        <v>5</v>
      </c>
      <c r="K12" s="12" t="n">
        <f aca="false">IF(J12=0,0,I12/J12)</f>
        <v>1</v>
      </c>
      <c r="L12" s="6"/>
    </row>
    <row r="13" customFormat="false" ht="15" hidden="false" customHeight="false" outlineLevel="0" collapsed="false">
      <c r="A13" s="27" t="s">
        <v>150</v>
      </c>
      <c r="B13" s="7" t="n">
        <v>3</v>
      </c>
      <c r="C13" s="28" t="s">
        <v>141</v>
      </c>
      <c r="D13" s="24" t="str">
        <f aca="false">INDEX('F1 Foto (dati)'!$F$5:$F$84,MATCH("TON|L2|3",'F1 Foto (dati)'!$A$5:$A$84,0))</f>
        <v>IA</v>
      </c>
      <c r="E13" s="24" t="str">
        <f aca="false">INDEX('F1 Foto (dati)'!$F$5:$F$84,MATCH("DIV|L2|3",'F1 Foto (dati)'!$A$5:$A$84,0))</f>
        <v>IA</v>
      </c>
      <c r="F13" s="24" t="str">
        <f aca="false">INDEX('F1 Foto (dati)'!$F$5:$F$84,MATCH("BIS|L2|3",'F1 Foto (dati)'!$A$5:$A$84,0))</f>
        <v>IA</v>
      </c>
      <c r="G13" s="24" t="str">
        <f aca="false">INDEX('F1 Foto (dati)'!$F$5:$F$84,MATCH("PAS|L2|3",'F1 Foto (dati)'!$A$5:$A$84,0))</f>
        <v>IA</v>
      </c>
      <c r="H13" s="24" t="str">
        <f aca="false">INDEX('F1 Foto (dati)'!$F$5:$F$84,MATCH("DRE|L2|3",'F1 Foto (dati)'!$A$5:$A$84,0))</f>
        <v>IA</v>
      </c>
      <c r="I13" s="7" t="n">
        <f aca="false">COUNTIFS('F1 Foto (dati)'!$C$5:$C$84,A13,'F1 Foto (dati)'!$D$5:$D$84,B13,'F1 Foto (dati)'!$G$5:$G$84,1)</f>
        <v>5</v>
      </c>
      <c r="J13" s="7" t="n">
        <f aca="false">COUNTIFS('F1 Foto (dati)'!$C$5:$C$84,A13,'F1 Foto (dati)'!$D$5:$D$84,B13,'F1 Foto (dati)'!$G$5:$G$84,"&lt;&gt;n.v.")</f>
        <v>5</v>
      </c>
      <c r="K13" s="12" t="n">
        <f aca="false">IF(J13=0,0,I13/J13)</f>
        <v>1</v>
      </c>
      <c r="L13" s="6"/>
    </row>
    <row r="14" customFormat="false" ht="15" hidden="false" customHeight="false" outlineLevel="0" collapsed="false">
      <c r="A14" s="27" t="s">
        <v>156</v>
      </c>
      <c r="B14" s="7" t="n">
        <v>1</v>
      </c>
      <c r="C14" s="28" t="s">
        <v>141</v>
      </c>
      <c r="D14" s="24" t="str">
        <f aca="false">INDEX('F1 Foto (dati)'!$F$5:$F$84,MATCH("TON|L3|1",'F1 Foto (dati)'!$A$5:$A$84,0))</f>
        <v>IA</v>
      </c>
      <c r="E14" s="24" t="str">
        <f aca="false">INDEX('F1 Foto (dati)'!$F$5:$F$84,MATCH("DIV|L3|1",'F1 Foto (dati)'!$A$5:$A$84,0))</f>
        <v>IA</v>
      </c>
      <c r="F14" s="24" t="str">
        <f aca="false">INDEX('F1 Foto (dati)'!$F$5:$F$84,MATCH("BIS|L3|1",'F1 Foto (dati)'!$A$5:$A$84,0))</f>
        <v>IA</v>
      </c>
      <c r="G14" s="24" t="str">
        <f aca="false">INDEX('F1 Foto (dati)'!$F$5:$F$84,MATCH("PAS|L3|1",'F1 Foto (dati)'!$A$5:$A$84,0))</f>
        <v>IA</v>
      </c>
      <c r="H14" s="24" t="str">
        <f aca="false">INDEX('F1 Foto (dati)'!$F$5:$F$84,MATCH("DRE|L3|1",'F1 Foto (dati)'!$A$5:$A$84,0))</f>
        <v>Reale</v>
      </c>
      <c r="I14" s="7" t="n">
        <f aca="false">COUNTIFS('F1 Foto (dati)'!$C$5:$C$84,A14,'F1 Foto (dati)'!$D$5:$D$84,B14,'F1 Foto (dati)'!$G$5:$G$84,1)</f>
        <v>4</v>
      </c>
      <c r="J14" s="7" t="n">
        <f aca="false">COUNTIFS('F1 Foto (dati)'!$C$5:$C$84,A14,'F1 Foto (dati)'!$D$5:$D$84,B14,'F1 Foto (dati)'!$G$5:$G$84,"&lt;&gt;n.v.")</f>
        <v>5</v>
      </c>
      <c r="K14" s="12" t="n">
        <f aca="false">IF(J14=0,0,I14/J14)</f>
        <v>0.8</v>
      </c>
      <c r="L14" s="6"/>
    </row>
    <row r="15" customFormat="false" ht="15" hidden="false" customHeight="false" outlineLevel="0" collapsed="false">
      <c r="A15" s="27" t="s">
        <v>156</v>
      </c>
      <c r="B15" s="7" t="n">
        <v>2</v>
      </c>
      <c r="C15" s="28" t="s">
        <v>139</v>
      </c>
      <c r="D15" s="24" t="str">
        <f aca="false">INDEX('F1 Foto (dati)'!$F$5:$F$84,MATCH("TON|L3|2",'F1 Foto (dati)'!$A$5:$A$84,0))</f>
        <v>Reale</v>
      </c>
      <c r="E15" s="24" t="str">
        <f aca="false">INDEX('F1 Foto (dati)'!$F$5:$F$84,MATCH("DIV|L3|2",'F1 Foto (dati)'!$A$5:$A$84,0))</f>
        <v>Reale</v>
      </c>
      <c r="F15" s="24" t="str">
        <f aca="false">INDEX('F1 Foto (dati)'!$F$5:$F$84,MATCH("BIS|L3|2",'F1 Foto (dati)'!$A$5:$A$84,0))</f>
        <v>Reale</v>
      </c>
      <c r="G15" s="24" t="str">
        <f aca="false">INDEX('F1 Foto (dati)'!$F$5:$F$84,MATCH("PAS|L3|2",'F1 Foto (dati)'!$A$5:$A$84,0))</f>
        <v>Reale</v>
      </c>
      <c r="H15" s="24" t="str">
        <f aca="false">INDEX('F1 Foto (dati)'!$F$5:$F$84,MATCH("DRE|L3|2",'F1 Foto (dati)'!$A$5:$A$84,0))</f>
        <v>Reale</v>
      </c>
      <c r="I15" s="7" t="n">
        <f aca="false">COUNTIFS('F1 Foto (dati)'!$C$5:$C$84,A15,'F1 Foto (dati)'!$D$5:$D$84,B15,'F1 Foto (dati)'!$G$5:$G$84,1)</f>
        <v>5</v>
      </c>
      <c r="J15" s="7" t="n">
        <f aca="false">COUNTIFS('F1 Foto (dati)'!$C$5:$C$84,A15,'F1 Foto (dati)'!$D$5:$D$84,B15,'F1 Foto (dati)'!$G$5:$G$84,"&lt;&gt;n.v.")</f>
        <v>5</v>
      </c>
      <c r="K15" s="12" t="n">
        <f aca="false">IF(J15=0,0,I15/J15)</f>
        <v>1</v>
      </c>
      <c r="L15" s="6"/>
    </row>
    <row r="16" customFormat="false" ht="23.85" hidden="false" customHeight="false" outlineLevel="0" collapsed="false">
      <c r="A16" s="27" t="s">
        <v>156</v>
      </c>
      <c r="B16" s="7" t="n">
        <v>3</v>
      </c>
      <c r="C16" s="28" t="s">
        <v>141</v>
      </c>
      <c r="D16" s="24" t="str">
        <f aca="false">INDEX('F1 Foto (dati)'!$F$5:$F$84,MATCH("TON|L3|3",'F1 Foto (dati)'!$A$5:$A$84,0))</f>
        <v>IA</v>
      </c>
      <c r="E16" s="24" t="str">
        <f aca="false">INDEX('F1 Foto (dati)'!$F$5:$F$84,MATCH("DIV|L3|3",'F1 Foto (dati)'!$A$5:$A$84,0))</f>
        <v>IA</v>
      </c>
      <c r="F16" s="24" t="str">
        <f aca="false">INDEX('F1 Foto (dati)'!$F$5:$F$84,MATCH("BIS|L3|3",'F1 Foto (dati)'!$A$5:$A$84,0))</f>
        <v>Reale</v>
      </c>
      <c r="G16" s="24" t="str">
        <f aca="false">INDEX('F1 Foto (dati)'!$F$5:$F$84,MATCH("PAS|L3|3",'F1 Foto (dati)'!$A$5:$A$84,0))</f>
        <v>IA</v>
      </c>
      <c r="H16" s="24" t="str">
        <f aca="false">INDEX('F1 Foto (dati)'!$F$5:$F$84,MATCH("DRE|L3|3",'F1 Foto (dati)'!$A$5:$A$84,0))</f>
        <v>?</v>
      </c>
      <c r="I16" s="7" t="n">
        <f aca="false">COUNTIFS('F1 Foto (dati)'!$C$5:$C$84,A16,'F1 Foto (dati)'!$D$5:$D$84,B16,'F1 Foto (dati)'!$G$5:$G$84,1)</f>
        <v>3</v>
      </c>
      <c r="J16" s="7" t="n">
        <f aca="false">COUNTIFS('F1 Foto (dati)'!$C$5:$C$84,A16,'F1 Foto (dati)'!$D$5:$D$84,B16,'F1 Foto (dati)'!$G$5:$G$84,"&lt;&gt;n.v.")</f>
        <v>4</v>
      </c>
      <c r="K16" s="12" t="n">
        <f aca="false">IF(J16=0,0,I16/J16)</f>
        <v>0.75</v>
      </c>
      <c r="L16" s="6" t="s">
        <v>284</v>
      </c>
    </row>
    <row r="17" customFormat="false" ht="15" hidden="false" customHeight="false" outlineLevel="0" collapsed="false">
      <c r="A17" s="27" t="s">
        <v>163</v>
      </c>
      <c r="B17" s="7" t="n">
        <v>1</v>
      </c>
      <c r="C17" s="28" t="s">
        <v>141</v>
      </c>
      <c r="D17" s="24" t="str">
        <f aca="false">INDEX('F1 Foto (dati)'!$F$5:$F$84,MATCH("TON|L4|1",'F1 Foto (dati)'!$A$5:$A$84,0))</f>
        <v>IA</v>
      </c>
      <c r="E17" s="24" t="str">
        <f aca="false">INDEX('F1 Foto (dati)'!$F$5:$F$84,MATCH("DIV|L4|1",'F1 Foto (dati)'!$A$5:$A$84,0))</f>
        <v>IA</v>
      </c>
      <c r="F17" s="24" t="str">
        <f aca="false">INDEX('F1 Foto (dati)'!$F$5:$F$84,MATCH("BIS|L4|1",'F1 Foto (dati)'!$A$5:$A$84,0))</f>
        <v>IA</v>
      </c>
      <c r="G17" s="24" t="str">
        <f aca="false">INDEX('F1 Foto (dati)'!$F$5:$F$84,MATCH("PAS|L4|1",'F1 Foto (dati)'!$A$5:$A$84,0))</f>
        <v>IA</v>
      </c>
      <c r="H17" s="24" t="str">
        <f aca="false">INDEX('F1 Foto (dati)'!$F$5:$F$84,MATCH("DRE|L4|1",'F1 Foto (dati)'!$A$5:$A$84,0))</f>
        <v>IA</v>
      </c>
      <c r="I17" s="7" t="n">
        <f aca="false">COUNTIFS('F1 Foto (dati)'!$C$5:$C$84,A17,'F1 Foto (dati)'!$D$5:$D$84,B17,'F1 Foto (dati)'!$G$5:$G$84,1)</f>
        <v>5</v>
      </c>
      <c r="J17" s="7" t="n">
        <f aca="false">COUNTIFS('F1 Foto (dati)'!$C$5:$C$84,A17,'F1 Foto (dati)'!$D$5:$D$84,B17,'F1 Foto (dati)'!$G$5:$G$84,"&lt;&gt;n.v.")</f>
        <v>5</v>
      </c>
      <c r="K17" s="12" t="n">
        <f aca="false">IF(J17=0,0,I17/J17)</f>
        <v>1</v>
      </c>
      <c r="L17" s="6"/>
    </row>
    <row r="18" customFormat="false" ht="15" hidden="false" customHeight="false" outlineLevel="0" collapsed="false">
      <c r="A18" s="27" t="s">
        <v>163</v>
      </c>
      <c r="B18" s="7" t="n">
        <v>2</v>
      </c>
      <c r="C18" s="28" t="s">
        <v>141</v>
      </c>
      <c r="D18" s="24" t="str">
        <f aca="false">INDEX('F1 Foto (dati)'!$F$5:$F$84,MATCH("TON|L4|2",'F1 Foto (dati)'!$A$5:$A$84,0))</f>
        <v>?</v>
      </c>
      <c r="E18" s="24" t="str">
        <f aca="false">INDEX('F1 Foto (dati)'!$F$5:$F$84,MATCH("DIV|L4|2",'F1 Foto (dati)'!$A$5:$A$84,0))</f>
        <v>Reale</v>
      </c>
      <c r="F18" s="24" t="str">
        <f aca="false">INDEX('F1 Foto (dati)'!$F$5:$F$84,MATCH("BIS|L4|2",'F1 Foto (dati)'!$A$5:$A$84,0))</f>
        <v>Reale</v>
      </c>
      <c r="G18" s="24" t="str">
        <f aca="false">INDEX('F1 Foto (dati)'!$F$5:$F$84,MATCH("PAS|L4|2",'F1 Foto (dati)'!$A$5:$A$84,0))</f>
        <v>IA</v>
      </c>
      <c r="H18" s="24" t="str">
        <f aca="false">INDEX('F1 Foto (dati)'!$F$5:$F$84,MATCH("DRE|L4|2",'F1 Foto (dati)'!$A$5:$A$84,0))</f>
        <v>IA</v>
      </c>
      <c r="I18" s="7" t="n">
        <f aca="false">COUNTIFS('F1 Foto (dati)'!$C$5:$C$84,A18,'F1 Foto (dati)'!$D$5:$D$84,B18,'F1 Foto (dati)'!$G$5:$G$84,1)</f>
        <v>2</v>
      </c>
      <c r="J18" s="7" t="n">
        <f aca="false">COUNTIFS('F1 Foto (dati)'!$C$5:$C$84,A18,'F1 Foto (dati)'!$D$5:$D$84,B18,'F1 Foto (dati)'!$G$5:$G$84,"&lt;&gt;n.v.")</f>
        <v>4</v>
      </c>
      <c r="K18" s="12" t="n">
        <f aca="false">IF(J18=0,0,I18/J18)</f>
        <v>0.5</v>
      </c>
      <c r="L18" s="6" t="s">
        <v>285</v>
      </c>
    </row>
    <row r="19" customFormat="false" ht="23.85" hidden="false" customHeight="false" outlineLevel="0" collapsed="false">
      <c r="A19" s="27" t="s">
        <v>163</v>
      </c>
      <c r="B19" s="7" t="n">
        <v>3</v>
      </c>
      <c r="C19" s="28" t="s">
        <v>141</v>
      </c>
      <c r="D19" s="24" t="str">
        <f aca="false">INDEX('F1 Foto (dati)'!$F$5:$F$84,MATCH("TON|L4|3",'F1 Foto (dati)'!$A$5:$A$84,0))</f>
        <v>Reale</v>
      </c>
      <c r="E19" s="24" t="str">
        <f aca="false">INDEX('F1 Foto (dati)'!$F$5:$F$84,MATCH("DIV|L4|3",'F1 Foto (dati)'!$A$5:$A$84,0))</f>
        <v>Reale</v>
      </c>
      <c r="F19" s="24" t="str">
        <f aca="false">INDEX('F1 Foto (dati)'!$F$5:$F$84,MATCH("BIS|L4|3",'F1 Foto (dati)'!$A$5:$A$84,0))</f>
        <v>Reale</v>
      </c>
      <c r="G19" s="24" t="str">
        <f aca="false">INDEX('F1 Foto (dati)'!$F$5:$F$84,MATCH("PAS|L4|3",'F1 Foto (dati)'!$A$5:$A$84,0))</f>
        <v>Reale</v>
      </c>
      <c r="H19" s="24" t="str">
        <f aca="false">INDEX('F1 Foto (dati)'!$F$5:$F$84,MATCH("DRE|L4|3",'F1 Foto (dati)'!$A$5:$A$84,0))</f>
        <v>Reale</v>
      </c>
      <c r="I19" s="7" t="n">
        <f aca="false">COUNTIFS('F1 Foto (dati)'!$C$5:$C$84,A19,'F1 Foto (dati)'!$D$5:$D$84,B19,'F1 Foto (dati)'!$G$5:$G$84,1)</f>
        <v>0</v>
      </c>
      <c r="J19" s="7" t="n">
        <f aca="false">COUNTIFS('F1 Foto (dati)'!$C$5:$C$84,A19,'F1 Foto (dati)'!$D$5:$D$84,B19,'F1 Foto (dati)'!$G$5:$G$84,"&lt;&gt;n.v.")</f>
        <v>5</v>
      </c>
      <c r="K19" s="12" t="n">
        <f aca="false">IF(J19=0,0,I19/J19)</f>
        <v>0</v>
      </c>
      <c r="L19" s="6" t="s">
        <v>286</v>
      </c>
    </row>
    <row r="20" customFormat="false" ht="15" hidden="false" customHeight="false" outlineLevel="0" collapsed="false">
      <c r="A20" s="27" t="s">
        <v>163</v>
      </c>
      <c r="B20" s="7" t="n">
        <v>4</v>
      </c>
      <c r="C20" s="28" t="s">
        <v>141</v>
      </c>
      <c r="D20" s="24" t="str">
        <f aca="false">INDEX('F1 Foto (dati)'!$F$5:$F$84,MATCH("TON|L4|4",'F1 Foto (dati)'!$A$5:$A$84,0))</f>
        <v>IA</v>
      </c>
      <c r="E20" s="24" t="str">
        <f aca="false">INDEX('F1 Foto (dati)'!$F$5:$F$84,MATCH("DIV|L4|4",'F1 Foto (dati)'!$A$5:$A$84,0))</f>
        <v>IA</v>
      </c>
      <c r="F20" s="24" t="str">
        <f aca="false">INDEX('F1 Foto (dati)'!$F$5:$F$84,MATCH("BIS|L4|4",'F1 Foto (dati)'!$A$5:$A$84,0))</f>
        <v>Reale</v>
      </c>
      <c r="G20" s="24" t="str">
        <f aca="false">INDEX('F1 Foto (dati)'!$F$5:$F$84,MATCH("PAS|L4|4",'F1 Foto (dati)'!$A$5:$A$84,0))</f>
        <v>IA</v>
      </c>
      <c r="H20" s="24" t="str">
        <f aca="false">INDEX('F1 Foto (dati)'!$F$5:$F$84,MATCH("DRE|L4|4",'F1 Foto (dati)'!$A$5:$A$84,0))</f>
        <v>Reale</v>
      </c>
      <c r="I20" s="7" t="n">
        <f aca="false">COUNTIFS('F1 Foto (dati)'!$C$5:$C$84,A20,'F1 Foto (dati)'!$D$5:$D$84,B20,'F1 Foto (dati)'!$G$5:$G$84,1)</f>
        <v>3</v>
      </c>
      <c r="J20" s="7" t="n">
        <f aca="false">COUNTIFS('F1 Foto (dati)'!$C$5:$C$84,A20,'F1 Foto (dati)'!$D$5:$D$84,B20,'F1 Foto (dati)'!$G$5:$G$84,"&lt;&gt;n.v.")</f>
        <v>5</v>
      </c>
      <c r="K20" s="12" t="n">
        <f aca="false">IF(J20=0,0,I20/J20)</f>
        <v>0.6</v>
      </c>
      <c r="L20" s="6" t="s">
        <v>287</v>
      </c>
    </row>
    <row r="22" customFormat="false" ht="57.45" hidden="false" customHeight="false" outlineLevel="0" collapsed="false">
      <c r="A22" s="5" t="s">
        <v>288</v>
      </c>
    </row>
    <row r="23" customFormat="false" ht="15" hidden="false" customHeight="true" outlineLevel="0" collapsed="false">
      <c r="A23" s="5" t="s">
        <v>81</v>
      </c>
      <c r="B23" s="15" t="s">
        <v>289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true" outlineLevel="0" collapsed="false">
      <c r="A24" s="5" t="s">
        <v>82</v>
      </c>
      <c r="B24" s="15" t="s">
        <v>290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23.85" hidden="false" customHeight="true" outlineLevel="0" collapsed="false">
      <c r="A25" s="5" t="s">
        <v>85</v>
      </c>
      <c r="B25" s="15" t="s">
        <v>291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</sheetData>
  <mergeCells count="3">
    <mergeCell ref="B23:L23"/>
    <mergeCell ref="B24:L24"/>
    <mergeCell ref="B25:L25"/>
  </mergeCells>
  <conditionalFormatting sqref="D5:H20">
    <cfRule type="expression" priority="2" aboveAverage="0" equalAverage="0" bottom="0" percent="0" rank="0" text="" dxfId="8">
      <formula>AND(D5&lt;&gt;"?",D5=$C5)</formula>
    </cfRule>
    <cfRule type="expression" priority="3" aboveAverage="0" equalAverage="0" bottom="0" percent="0" rank="0" text="" dxfId="9">
      <formula>AND(D5&lt;&gt;"?",D5&lt;&gt;$C5)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23.85" hidden="false" customHeight="false" outlineLevel="0" collapsed="false">
      <c r="A4" s="4" t="s">
        <v>76</v>
      </c>
      <c r="B4" s="4" t="s">
        <v>294</v>
      </c>
      <c r="C4" s="4" t="s">
        <v>295</v>
      </c>
      <c r="D4" s="4" t="s">
        <v>296</v>
      </c>
      <c r="E4" s="4" t="s">
        <v>133</v>
      </c>
      <c r="F4" s="4" t="s">
        <v>297</v>
      </c>
      <c r="G4" s="4" t="s">
        <v>296</v>
      </c>
      <c r="H4" s="4" t="s">
        <v>133</v>
      </c>
      <c r="I4" s="4" t="s">
        <v>298</v>
      </c>
      <c r="J4" s="4" t="s">
        <v>299</v>
      </c>
    </row>
    <row r="5" customFormat="false" ht="15" hidden="false" customHeight="false" outlineLevel="0" collapsed="false">
      <c r="A5" s="6" t="s">
        <v>81</v>
      </c>
      <c r="B5" s="7" t="s">
        <v>115</v>
      </c>
      <c r="C5" s="28" t="s">
        <v>300</v>
      </c>
      <c r="D5" s="18" t="s">
        <v>300</v>
      </c>
      <c r="E5" s="24" t="n">
        <f aca="false">IF(D5="","n.c.",IF(D5=C5,1,0))</f>
        <v>1</v>
      </c>
      <c r="F5" s="28" t="s">
        <v>301</v>
      </c>
      <c r="G5" s="18" t="s">
        <v>301</v>
      </c>
      <c r="H5" s="24" t="n">
        <f aca="false">IF(G5="","n.c.",IF(G5="?","n.v.",IF(G5=F5,1,0)))</f>
        <v>1</v>
      </c>
      <c r="I5" s="18" t="n">
        <v>2</v>
      </c>
      <c r="J5" s="6" t="s">
        <v>302</v>
      </c>
    </row>
    <row r="6" customFormat="false" ht="15" hidden="false" customHeight="false" outlineLevel="0" collapsed="false">
      <c r="A6" s="6" t="s">
        <v>81</v>
      </c>
      <c r="B6" s="7" t="s">
        <v>116</v>
      </c>
      <c r="C6" s="28" t="s">
        <v>300</v>
      </c>
      <c r="D6" s="18" t="s">
        <v>300</v>
      </c>
      <c r="E6" s="24" t="n">
        <f aca="false">IF(D6="","n.c.",IF(D6=C6,1,0))</f>
        <v>1</v>
      </c>
      <c r="F6" s="28" t="s">
        <v>303</v>
      </c>
      <c r="G6" s="18" t="s">
        <v>303</v>
      </c>
      <c r="H6" s="24" t="n">
        <f aca="false">IF(G6="","n.c.",IF(G6="?","n.v.",IF(G6=F6,1,0)))</f>
        <v>1</v>
      </c>
      <c r="I6" s="18"/>
      <c r="J6" s="6" t="s">
        <v>304</v>
      </c>
    </row>
    <row r="7" customFormat="false" ht="15" hidden="false" customHeight="false" outlineLevel="0" collapsed="false">
      <c r="A7" s="6" t="s">
        <v>81</v>
      </c>
      <c r="B7" s="7" t="s">
        <v>117</v>
      </c>
      <c r="C7" s="28" t="s">
        <v>305</v>
      </c>
      <c r="D7" s="18" t="s">
        <v>305</v>
      </c>
      <c r="E7" s="24" t="n">
        <f aca="false">IF(D7="","n.c.",IF(D7=C7,1,0))</f>
        <v>1</v>
      </c>
      <c r="F7" s="28" t="s">
        <v>301</v>
      </c>
      <c r="G7" s="18" t="s">
        <v>301</v>
      </c>
      <c r="H7" s="24" t="n">
        <f aca="false">IF(G7="","n.c.",IF(G7="?","n.v.",IF(G7=F7,1,0)))</f>
        <v>1</v>
      </c>
      <c r="I7" s="18"/>
      <c r="J7" s="6"/>
    </row>
    <row r="8" customFormat="false" ht="15" hidden="false" customHeight="false" outlineLevel="0" collapsed="false">
      <c r="A8" s="6" t="s">
        <v>82</v>
      </c>
      <c r="B8" s="7" t="s">
        <v>115</v>
      </c>
      <c r="C8" s="28" t="s">
        <v>300</v>
      </c>
      <c r="D8" s="18" t="s">
        <v>300</v>
      </c>
      <c r="E8" s="24" t="n">
        <f aca="false">IF(D8="","n.c.",IF(D8=C8,1,0))</f>
        <v>1</v>
      </c>
      <c r="F8" s="28" t="s">
        <v>301</v>
      </c>
      <c r="G8" s="18" t="s">
        <v>303</v>
      </c>
      <c r="H8" s="24" t="n">
        <f aca="false">IF(G8="","n.c.",IF(G8="?","n.v.",IF(G8=F8,1,0)))</f>
        <v>0</v>
      </c>
      <c r="I8" s="18" t="n">
        <v>4</v>
      </c>
      <c r="J8" s="6" t="s">
        <v>306</v>
      </c>
    </row>
    <row r="9" customFormat="false" ht="15" hidden="false" customHeight="false" outlineLevel="0" collapsed="false">
      <c r="A9" s="6" t="s">
        <v>82</v>
      </c>
      <c r="B9" s="7" t="s">
        <v>116</v>
      </c>
      <c r="C9" s="28" t="s">
        <v>300</v>
      </c>
      <c r="D9" s="18" t="s">
        <v>300</v>
      </c>
      <c r="E9" s="24" t="n">
        <f aca="false">IF(D9="","n.c.",IF(D9=C9,1,0))</f>
        <v>1</v>
      </c>
      <c r="F9" s="28" t="s">
        <v>303</v>
      </c>
      <c r="G9" s="18" t="s">
        <v>303</v>
      </c>
      <c r="H9" s="24" t="n">
        <f aca="false">IF(G9="","n.c.",IF(G9="?","n.v.",IF(G9=F9,1,0)))</f>
        <v>1</v>
      </c>
      <c r="I9" s="18"/>
      <c r="J9" s="6"/>
    </row>
    <row r="10" customFormat="false" ht="15" hidden="false" customHeight="false" outlineLevel="0" collapsed="false">
      <c r="A10" s="6" t="s">
        <v>82</v>
      </c>
      <c r="B10" s="7" t="s">
        <v>117</v>
      </c>
      <c r="C10" s="28" t="s">
        <v>305</v>
      </c>
      <c r="D10" s="18"/>
      <c r="E10" s="24" t="str">
        <f aca="false">IF(D10="","n.c.",IF(D10=C10,1,0))</f>
        <v>n.c.</v>
      </c>
      <c r="F10" s="28" t="s">
        <v>301</v>
      </c>
      <c r="G10" s="18" t="s">
        <v>301</v>
      </c>
      <c r="H10" s="24" t="n">
        <f aca="false">IF(G10="","n.c.",IF(G10="?","n.v.",IF(G10=F10,1,0)))</f>
        <v>1</v>
      </c>
      <c r="I10" s="18"/>
      <c r="J10" s="6" t="s">
        <v>307</v>
      </c>
    </row>
    <row r="11" customFormat="false" ht="15" hidden="false" customHeight="false" outlineLevel="0" collapsed="false">
      <c r="A11" s="6" t="s">
        <v>83</v>
      </c>
      <c r="B11" s="7" t="s">
        <v>115</v>
      </c>
      <c r="C11" s="28" t="s">
        <v>300</v>
      </c>
      <c r="D11" s="18" t="s">
        <v>300</v>
      </c>
      <c r="E11" s="24" t="n">
        <f aca="false">IF(D11="","n.c.",IF(D11=C11,1,0))</f>
        <v>1</v>
      </c>
      <c r="F11" s="28" t="s">
        <v>301</v>
      </c>
      <c r="G11" s="18" t="s">
        <v>301</v>
      </c>
      <c r="H11" s="24" t="n">
        <f aca="false">IF(G11="","n.c.",IF(G11="?","n.v.",IF(G11=F11,1,0)))</f>
        <v>1</v>
      </c>
      <c r="I11" s="18"/>
      <c r="J11" s="6"/>
    </row>
    <row r="12" customFormat="false" ht="15" hidden="false" customHeight="false" outlineLevel="0" collapsed="false">
      <c r="A12" s="6" t="s">
        <v>83</v>
      </c>
      <c r="B12" s="7" t="s">
        <v>116</v>
      </c>
      <c r="C12" s="28" t="s">
        <v>300</v>
      </c>
      <c r="D12" s="18" t="s">
        <v>300</v>
      </c>
      <c r="E12" s="24" t="n">
        <f aca="false">IF(D12="","n.c.",IF(D12=C12,1,0))</f>
        <v>1</v>
      </c>
      <c r="F12" s="28" t="s">
        <v>303</v>
      </c>
      <c r="G12" s="18" t="s">
        <v>301</v>
      </c>
      <c r="H12" s="24" t="n">
        <f aca="false">IF(G12="","n.c.",IF(G12="?","n.v.",IF(G12=F12,1,0)))</f>
        <v>0</v>
      </c>
      <c r="I12" s="18"/>
      <c r="J12" s="6"/>
    </row>
    <row r="13" customFormat="false" ht="15" hidden="false" customHeight="false" outlineLevel="0" collapsed="false">
      <c r="A13" s="6" t="s">
        <v>83</v>
      </c>
      <c r="B13" s="7" t="s">
        <v>117</v>
      </c>
      <c r="C13" s="28" t="s">
        <v>305</v>
      </c>
      <c r="D13" s="18"/>
      <c r="E13" s="24" t="str">
        <f aca="false">IF(D13="","n.c.",IF(D13=C13,1,0))</f>
        <v>n.c.</v>
      </c>
      <c r="F13" s="28" t="s">
        <v>301</v>
      </c>
      <c r="G13" s="18"/>
      <c r="H13" s="24" t="str">
        <f aca="false">IF(G13="","n.c.",IF(G13="?","n.v.",IF(G13=F13,1,0)))</f>
        <v>n.c.</v>
      </c>
      <c r="I13" s="18"/>
      <c r="J13" s="6" t="s">
        <v>308</v>
      </c>
    </row>
    <row r="14" customFormat="false" ht="15" hidden="false" customHeight="false" outlineLevel="0" collapsed="false">
      <c r="A14" s="6" t="s">
        <v>84</v>
      </c>
      <c r="B14" s="7" t="s">
        <v>115</v>
      </c>
      <c r="C14" s="28" t="s">
        <v>300</v>
      </c>
      <c r="D14" s="18" t="s">
        <v>300</v>
      </c>
      <c r="E14" s="24" t="n">
        <f aca="false">IF(D14="","n.c.",IF(D14=C14,1,0))</f>
        <v>1</v>
      </c>
      <c r="F14" s="28" t="s">
        <v>301</v>
      </c>
      <c r="G14" s="18" t="s">
        <v>301</v>
      </c>
      <c r="H14" s="24" t="n">
        <f aca="false">IF(G14="","n.c.",IF(G14="?","n.v.",IF(G14=F14,1,0)))</f>
        <v>1</v>
      </c>
      <c r="I14" s="18"/>
      <c r="J14" s="6" t="s">
        <v>309</v>
      </c>
    </row>
    <row r="15" customFormat="false" ht="15" hidden="false" customHeight="false" outlineLevel="0" collapsed="false">
      <c r="A15" s="6" t="s">
        <v>84</v>
      </c>
      <c r="B15" s="7" t="s">
        <v>116</v>
      </c>
      <c r="C15" s="28" t="s">
        <v>300</v>
      </c>
      <c r="D15" s="18" t="s">
        <v>300</v>
      </c>
      <c r="E15" s="24" t="n">
        <f aca="false">IF(D15="","n.c.",IF(D15=C15,1,0))</f>
        <v>1</v>
      </c>
      <c r="F15" s="28" t="s">
        <v>303</v>
      </c>
      <c r="G15" s="18" t="s">
        <v>167</v>
      </c>
      <c r="H15" s="24" t="str">
        <f aca="false">IF(G15="","n.c.",IF(G15="?","n.v.",IF(G15=F15,1,0)))</f>
        <v>n.v.</v>
      </c>
      <c r="I15" s="18"/>
      <c r="J15" s="6" t="s">
        <v>310</v>
      </c>
    </row>
    <row r="16" customFormat="false" ht="15" hidden="false" customHeight="false" outlineLevel="0" collapsed="false">
      <c r="A16" s="6" t="s">
        <v>84</v>
      </c>
      <c r="B16" s="7" t="s">
        <v>117</v>
      </c>
      <c r="C16" s="28" t="s">
        <v>305</v>
      </c>
      <c r="D16" s="18"/>
      <c r="E16" s="24" t="str">
        <f aca="false">IF(D16="","n.c.",IF(D16=C16,1,0))</f>
        <v>n.c.</v>
      </c>
      <c r="F16" s="28" t="s">
        <v>301</v>
      </c>
      <c r="G16" s="18"/>
      <c r="H16" s="24" t="str">
        <f aca="false">IF(G16="","n.c.",IF(G16="?","n.v.",IF(G16=F16,1,0)))</f>
        <v>n.c.</v>
      </c>
      <c r="I16" s="18"/>
      <c r="J16" s="6" t="s">
        <v>308</v>
      </c>
    </row>
    <row r="17" customFormat="false" ht="15" hidden="false" customHeight="false" outlineLevel="0" collapsed="false">
      <c r="A17" s="6" t="s">
        <v>85</v>
      </c>
      <c r="B17" s="7" t="s">
        <v>115</v>
      </c>
      <c r="C17" s="28" t="s">
        <v>300</v>
      </c>
      <c r="D17" s="18" t="s">
        <v>300</v>
      </c>
      <c r="E17" s="24" t="n">
        <f aca="false">IF(D17="","n.c.",IF(D17=C17,1,0))</f>
        <v>1</v>
      </c>
      <c r="F17" s="28" t="s">
        <v>301</v>
      </c>
      <c r="G17" s="18" t="s">
        <v>303</v>
      </c>
      <c r="H17" s="24" t="n">
        <f aca="false">IF(G17="","n.c.",IF(G17="?","n.v.",IF(G17=F17,1,0)))</f>
        <v>0</v>
      </c>
      <c r="I17" s="18" t="n">
        <v>2</v>
      </c>
      <c r="J17" s="6"/>
    </row>
    <row r="18" customFormat="false" ht="15" hidden="false" customHeight="false" outlineLevel="0" collapsed="false">
      <c r="A18" s="6" t="s">
        <v>85</v>
      </c>
      <c r="B18" s="7" t="s">
        <v>116</v>
      </c>
      <c r="C18" s="28" t="s">
        <v>300</v>
      </c>
      <c r="D18" s="18" t="s">
        <v>300</v>
      </c>
      <c r="E18" s="24" t="n">
        <f aca="false">IF(D18="","n.c.",IF(D18=C18,1,0))</f>
        <v>1</v>
      </c>
      <c r="F18" s="28" t="s">
        <v>303</v>
      </c>
      <c r="G18" s="18" t="s">
        <v>303</v>
      </c>
      <c r="H18" s="24" t="n">
        <f aca="false">IF(G18="","n.c.",IF(G18="?","n.v.",IF(G18=F18,1,0)))</f>
        <v>1</v>
      </c>
      <c r="I18" s="18" t="n">
        <v>4</v>
      </c>
      <c r="J18" s="6"/>
    </row>
    <row r="19" customFormat="false" ht="15" hidden="false" customHeight="false" outlineLevel="0" collapsed="false">
      <c r="A19" s="6" t="s">
        <v>85</v>
      </c>
      <c r="B19" s="7" t="s">
        <v>117</v>
      </c>
      <c r="C19" s="28" t="s">
        <v>305</v>
      </c>
      <c r="D19" s="18" t="s">
        <v>305</v>
      </c>
      <c r="E19" s="24" t="n">
        <f aca="false">IF(D19="","n.c.",IF(D19=C19,1,0))</f>
        <v>1</v>
      </c>
      <c r="F19" s="28" t="s">
        <v>301</v>
      </c>
      <c r="G19" s="18" t="s">
        <v>301</v>
      </c>
      <c r="H19" s="24" t="n">
        <f aca="false">IF(G19="","n.c.",IF(G19="?","n.v.",IF(G19=F19,1,0)))</f>
        <v>1</v>
      </c>
      <c r="I19" s="18" t="n">
        <v>4</v>
      </c>
      <c r="J19" s="6"/>
    </row>
    <row r="21" customFormat="false" ht="35.05" hidden="false" customHeight="false" outlineLevel="0" collapsed="false">
      <c r="A21" s="4" t="s">
        <v>294</v>
      </c>
      <c r="B21" s="4"/>
      <c r="C21" s="4" t="s">
        <v>311</v>
      </c>
      <c r="D21" s="4" t="s">
        <v>312</v>
      </c>
      <c r="E21" s="4"/>
      <c r="F21" s="4" t="s">
        <v>313</v>
      </c>
      <c r="G21" s="4" t="s">
        <v>314</v>
      </c>
      <c r="H21" s="4"/>
      <c r="I21" s="4"/>
      <c r="J21" s="4" t="s">
        <v>86</v>
      </c>
    </row>
    <row r="22" customFormat="false" ht="35.05" hidden="false" customHeight="false" outlineLevel="0" collapsed="false">
      <c r="A22" s="27" t="s">
        <v>115</v>
      </c>
      <c r="C22" s="7" t="n">
        <f aca="false">COUNTIFS($B$5:$B$19,A22,$E$5:$E$19,1)</f>
        <v>5</v>
      </c>
      <c r="D22" s="7" t="n">
        <f aca="false">COUNTIFS($B$5:$B$19,A22,$E$5:$E$19,"&lt;&gt;n.c.")</f>
        <v>5</v>
      </c>
      <c r="F22" s="7" t="n">
        <f aca="false">COUNTIFS($B$5:$B$19,A22,$H$5:$H$19,1)</f>
        <v>3</v>
      </c>
      <c r="G22" s="7" t="n">
        <f aca="false">COUNTIFS($B$5:$B$19,A22,$H$5:$H$19,"&lt;&gt;n.c.",$H$5:$H$19,"&lt;&gt;n.v.")</f>
        <v>5</v>
      </c>
      <c r="J22" s="6" t="s">
        <v>315</v>
      </c>
    </row>
    <row r="23" customFormat="false" ht="23.85" hidden="false" customHeight="false" outlineLevel="0" collapsed="false">
      <c r="A23" s="27" t="s">
        <v>116</v>
      </c>
      <c r="C23" s="7" t="n">
        <f aca="false">COUNTIFS($B$5:$B$19,A23,$E$5:$E$19,1)</f>
        <v>5</v>
      </c>
      <c r="D23" s="7" t="n">
        <f aca="false">COUNTIFS($B$5:$B$19,A23,$E$5:$E$19,"&lt;&gt;n.c.")</f>
        <v>5</v>
      </c>
      <c r="F23" s="7" t="n">
        <f aca="false">COUNTIFS($B$5:$B$19,A23,$H$5:$H$19,1)</f>
        <v>3</v>
      </c>
      <c r="G23" s="7" t="n">
        <f aca="false">COUNTIFS($B$5:$B$19,A23,$H$5:$H$19,"&lt;&gt;n.c.",$H$5:$H$19,"&lt;&gt;n.v.")</f>
        <v>4</v>
      </c>
      <c r="J23" s="6" t="s">
        <v>316</v>
      </c>
    </row>
    <row r="24" customFormat="false" ht="23.85" hidden="false" customHeight="false" outlineLevel="0" collapsed="false">
      <c r="A24" s="27" t="s">
        <v>117</v>
      </c>
      <c r="C24" s="7" t="n">
        <f aca="false">COUNTIFS($B$5:$B$19,A24,$E$5:$E$19,1)</f>
        <v>2</v>
      </c>
      <c r="D24" s="7" t="n">
        <f aca="false">COUNTIFS($B$5:$B$19,A24,$E$5:$E$19,"&lt;&gt;n.c.")</f>
        <v>2</v>
      </c>
      <c r="F24" s="7" t="n">
        <f aca="false">COUNTIFS($B$5:$B$19,A24,$H$5:$H$19,1)</f>
        <v>3</v>
      </c>
      <c r="G24" s="7" t="n">
        <f aca="false">COUNTIFS($B$5:$B$19,A24,$H$5:$H$19,"&lt;&gt;n.c.",$H$5:$H$19,"&lt;&gt;n.v.")</f>
        <v>3</v>
      </c>
      <c r="J24" s="6" t="s">
        <v>317</v>
      </c>
    </row>
  </sheetData>
  <conditionalFormatting sqref="E5:E19">
    <cfRule type="cellIs" priority="2" operator="equal" aboveAverage="0" equalAverage="0" bottom="0" percent="0" rank="0" text="" dxfId="8">
      <formula>1</formula>
    </cfRule>
    <cfRule type="cellIs" priority="3" operator="equal" aboveAverage="0" equalAverage="0" bottom="0" percent="0" rank="0" text="" dxfId="9">
      <formula>0</formula>
    </cfRule>
  </conditionalFormatting>
  <conditionalFormatting sqref="H5:H19">
    <cfRule type="cellIs" priority="4" operator="equal" aboveAverage="0" equalAverage="0" bottom="0" percent="0" rank="0" text="" dxfId="8">
      <formula>1</formula>
    </cfRule>
    <cfRule type="cellIs" priority="5" operator="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8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318</v>
      </c>
    </row>
    <row r="2" customFormat="false" ht="15" hidden="false" customHeight="false" outlineLevel="0" collapsed="false">
      <c r="A2" s="2" t="s">
        <v>319</v>
      </c>
    </row>
    <row r="4" customFormat="false" ht="23.85" hidden="false" customHeight="false" outlineLevel="0" collapsed="false">
      <c r="A4" s="4" t="s">
        <v>320</v>
      </c>
      <c r="B4" s="4" t="s">
        <v>76</v>
      </c>
      <c r="C4" s="4" t="s">
        <v>321</v>
      </c>
      <c r="D4" s="4" t="s">
        <v>322</v>
      </c>
      <c r="E4" s="4" t="s">
        <v>323</v>
      </c>
      <c r="F4" s="4" t="s">
        <v>131</v>
      </c>
      <c r="G4" s="4" t="s">
        <v>133</v>
      </c>
    </row>
    <row r="5" customFormat="false" ht="15" hidden="false" customHeight="false" outlineLevel="0" collapsed="false">
      <c r="A5" s="6" t="s">
        <v>324</v>
      </c>
      <c r="B5" s="6" t="s">
        <v>81</v>
      </c>
      <c r="C5" s="7" t="s">
        <v>325</v>
      </c>
      <c r="D5" s="6" t="s">
        <v>143</v>
      </c>
      <c r="E5" s="7" t="s">
        <v>141</v>
      </c>
      <c r="F5" s="7" t="s">
        <v>141</v>
      </c>
      <c r="G5" s="24" t="n">
        <f aca="false">IF(E5="?","n.v.",IF(E5=F5,1,0))</f>
        <v>1</v>
      </c>
    </row>
    <row r="6" customFormat="false" ht="23.85" hidden="false" customHeight="false" outlineLevel="0" collapsed="false">
      <c r="A6" s="6" t="s">
        <v>326</v>
      </c>
      <c r="B6" s="6" t="s">
        <v>81</v>
      </c>
      <c r="C6" s="7" t="s">
        <v>327</v>
      </c>
      <c r="D6" s="6" t="s">
        <v>146</v>
      </c>
      <c r="E6" s="7" t="s">
        <v>141</v>
      </c>
      <c r="F6" s="7" t="s">
        <v>141</v>
      </c>
      <c r="G6" s="24" t="n">
        <f aca="false">IF(E6="?","n.v.",IF(E6=F6,1,0))</f>
        <v>1</v>
      </c>
    </row>
    <row r="7" customFormat="false" ht="15" hidden="false" customHeight="false" outlineLevel="0" collapsed="false">
      <c r="A7" s="6" t="s">
        <v>328</v>
      </c>
      <c r="B7" s="6" t="s">
        <v>81</v>
      </c>
      <c r="C7" s="7" t="s">
        <v>329</v>
      </c>
      <c r="D7" s="6" t="s">
        <v>151</v>
      </c>
      <c r="E7" s="7" t="s">
        <v>141</v>
      </c>
      <c r="F7" s="7" t="s">
        <v>139</v>
      </c>
      <c r="G7" s="24" t="n">
        <f aca="false">IF(E7="?","n.v.",IF(E7=F7,1,0))</f>
        <v>0</v>
      </c>
    </row>
    <row r="8" customFormat="false" ht="15" hidden="false" customHeight="false" outlineLevel="0" collapsed="false">
      <c r="A8" s="6" t="s">
        <v>330</v>
      </c>
      <c r="B8" s="6" t="s">
        <v>81</v>
      </c>
      <c r="C8" s="7" t="s">
        <v>331</v>
      </c>
      <c r="D8" s="6" t="s">
        <v>154</v>
      </c>
      <c r="E8" s="7" t="s">
        <v>141</v>
      </c>
      <c r="F8" s="7" t="s">
        <v>141</v>
      </c>
      <c r="G8" s="24" t="n">
        <f aca="false">IF(E8="?","n.v.",IF(E8=F8,1,0))</f>
        <v>1</v>
      </c>
    </row>
    <row r="9" customFormat="false" ht="15" hidden="false" customHeight="false" outlineLevel="0" collapsed="false">
      <c r="A9" s="6" t="s">
        <v>332</v>
      </c>
      <c r="B9" s="6" t="s">
        <v>81</v>
      </c>
      <c r="C9" s="7" t="s">
        <v>333</v>
      </c>
      <c r="D9" s="6" t="s">
        <v>160</v>
      </c>
      <c r="E9" s="7" t="s">
        <v>141</v>
      </c>
      <c r="F9" s="7" t="s">
        <v>141</v>
      </c>
      <c r="G9" s="24" t="n">
        <f aca="false">IF(E9="?","n.v.",IF(E9=F9,1,0))</f>
        <v>1</v>
      </c>
    </row>
    <row r="10" customFormat="false" ht="15" hidden="false" customHeight="false" outlineLevel="0" collapsed="false">
      <c r="A10" s="6" t="s">
        <v>332</v>
      </c>
      <c r="B10" s="6" t="s">
        <v>81</v>
      </c>
      <c r="C10" s="7" t="s">
        <v>334</v>
      </c>
      <c r="D10" s="6" t="s">
        <v>164</v>
      </c>
      <c r="E10" s="7" t="s">
        <v>141</v>
      </c>
      <c r="F10" s="7" t="s">
        <v>141</v>
      </c>
      <c r="G10" s="24" t="n">
        <f aca="false">IF(E10="?","n.v.",IF(E10=F10,1,0))</f>
        <v>1</v>
      </c>
    </row>
    <row r="11" customFormat="false" ht="15" hidden="false" customHeight="false" outlineLevel="0" collapsed="false">
      <c r="A11" s="6" t="s">
        <v>332</v>
      </c>
      <c r="B11" s="6" t="s">
        <v>81</v>
      </c>
      <c r="C11" s="7" t="s">
        <v>335</v>
      </c>
      <c r="D11" s="6" t="s">
        <v>168</v>
      </c>
      <c r="E11" s="7" t="s">
        <v>167</v>
      </c>
      <c r="F11" s="7" t="s">
        <v>141</v>
      </c>
      <c r="G11" s="24" t="str">
        <f aca="false">IF(E11="?","n.v.",IF(E11=F11,1,0))</f>
        <v>n.v.</v>
      </c>
    </row>
    <row r="12" customFormat="false" ht="15" hidden="false" customHeight="false" outlineLevel="0" collapsed="false">
      <c r="A12" s="6" t="s">
        <v>328</v>
      </c>
      <c r="B12" s="6" t="s">
        <v>81</v>
      </c>
      <c r="C12" s="7" t="s">
        <v>336</v>
      </c>
      <c r="D12" s="6" t="s">
        <v>172</v>
      </c>
      <c r="E12" s="7" t="s">
        <v>141</v>
      </c>
      <c r="F12" s="7" t="s">
        <v>141</v>
      </c>
      <c r="G12" s="24" t="n">
        <f aca="false">IF(E12="?","n.v.",IF(E12=F12,1,0))</f>
        <v>1</v>
      </c>
    </row>
    <row r="13" customFormat="false" ht="15" hidden="false" customHeight="false" outlineLevel="0" collapsed="false">
      <c r="A13" s="6" t="s">
        <v>337</v>
      </c>
      <c r="B13" s="6" t="s">
        <v>82</v>
      </c>
      <c r="C13" s="7" t="s">
        <v>327</v>
      </c>
      <c r="D13" s="6" t="s">
        <v>177</v>
      </c>
      <c r="E13" s="7" t="s">
        <v>141</v>
      </c>
      <c r="F13" s="7" t="s">
        <v>141</v>
      </c>
      <c r="G13" s="24" t="n">
        <f aca="false">IF(E13="?","n.v.",IF(E13=F13,1,0))</f>
        <v>1</v>
      </c>
    </row>
    <row r="14" customFormat="false" ht="15" hidden="false" customHeight="false" outlineLevel="0" collapsed="false">
      <c r="A14" s="6" t="s">
        <v>337</v>
      </c>
      <c r="B14" s="6" t="s">
        <v>82</v>
      </c>
      <c r="C14" s="7" t="s">
        <v>329</v>
      </c>
      <c r="D14" s="6" t="s">
        <v>181</v>
      </c>
      <c r="E14" s="7" t="s">
        <v>141</v>
      </c>
      <c r="F14" s="7" t="s">
        <v>139</v>
      </c>
      <c r="G14" s="24" t="n">
        <f aca="false">IF(E14="?","n.v.",IF(E14=F14,1,0))</f>
        <v>0</v>
      </c>
    </row>
    <row r="15" customFormat="false" ht="15" hidden="false" customHeight="false" outlineLevel="0" collapsed="false">
      <c r="A15" s="6" t="s">
        <v>328</v>
      </c>
      <c r="B15" s="6" t="s">
        <v>82</v>
      </c>
      <c r="C15" s="7" t="s">
        <v>329</v>
      </c>
      <c r="D15" s="6" t="s">
        <v>181</v>
      </c>
      <c r="E15" s="7" t="s">
        <v>141</v>
      </c>
      <c r="F15" s="7" t="s">
        <v>139</v>
      </c>
      <c r="G15" s="24" t="n">
        <f aca="false">IF(E15="?","n.v.",IF(E15=F15,1,0))</f>
        <v>0</v>
      </c>
    </row>
    <row r="16" customFormat="false" ht="15" hidden="false" customHeight="false" outlineLevel="0" collapsed="false">
      <c r="A16" s="6" t="s">
        <v>337</v>
      </c>
      <c r="B16" s="6" t="s">
        <v>82</v>
      </c>
      <c r="C16" s="7" t="s">
        <v>331</v>
      </c>
      <c r="D16" s="6" t="s">
        <v>184</v>
      </c>
      <c r="E16" s="7" t="s">
        <v>141</v>
      </c>
      <c r="F16" s="7" t="s">
        <v>141</v>
      </c>
      <c r="G16" s="24" t="n">
        <f aca="false">IF(E16="?","n.v.",IF(E16=F16,1,0))</f>
        <v>1</v>
      </c>
    </row>
    <row r="17" customFormat="false" ht="15" hidden="false" customHeight="false" outlineLevel="0" collapsed="false">
      <c r="A17" s="6" t="s">
        <v>338</v>
      </c>
      <c r="B17" s="6" t="s">
        <v>82</v>
      </c>
      <c r="C17" s="7" t="s">
        <v>339</v>
      </c>
      <c r="D17" s="6" t="s">
        <v>186</v>
      </c>
      <c r="E17" s="7" t="s">
        <v>141</v>
      </c>
      <c r="F17" s="7" t="s">
        <v>141</v>
      </c>
      <c r="G17" s="24" t="n">
        <f aca="false">IF(E17="?","n.v.",IF(E17=F17,1,0))</f>
        <v>1</v>
      </c>
    </row>
    <row r="18" customFormat="false" ht="15" hidden="false" customHeight="false" outlineLevel="0" collapsed="false">
      <c r="A18" s="6" t="s">
        <v>338</v>
      </c>
      <c r="B18" s="6" t="s">
        <v>82</v>
      </c>
      <c r="C18" s="7" t="s">
        <v>333</v>
      </c>
      <c r="D18" s="6" t="s">
        <v>189</v>
      </c>
      <c r="E18" s="7" t="s">
        <v>141</v>
      </c>
      <c r="F18" s="7" t="s">
        <v>141</v>
      </c>
      <c r="G18" s="24" t="n">
        <f aca="false">IF(E18="?","n.v.",IF(E18=F18,1,0))</f>
        <v>1</v>
      </c>
    </row>
    <row r="19" customFormat="false" ht="15" hidden="false" customHeight="false" outlineLevel="0" collapsed="false">
      <c r="A19" s="6" t="s">
        <v>326</v>
      </c>
      <c r="B19" s="6" t="s">
        <v>82</v>
      </c>
      <c r="C19" s="7" t="s">
        <v>334</v>
      </c>
      <c r="D19" s="6" t="s">
        <v>191</v>
      </c>
      <c r="E19" s="7" t="s">
        <v>141</v>
      </c>
      <c r="F19" s="7" t="s">
        <v>141</v>
      </c>
      <c r="G19" s="24" t="n">
        <f aca="false">IF(E19="?","n.v.",IF(E19=F19,1,0))</f>
        <v>1</v>
      </c>
    </row>
    <row r="20" customFormat="false" ht="15" hidden="false" customHeight="false" outlineLevel="0" collapsed="false">
      <c r="A20" s="6" t="s">
        <v>328</v>
      </c>
      <c r="B20" s="6" t="s">
        <v>82</v>
      </c>
      <c r="C20" s="7" t="s">
        <v>336</v>
      </c>
      <c r="D20" s="6" t="s">
        <v>195</v>
      </c>
      <c r="E20" s="7" t="s">
        <v>141</v>
      </c>
      <c r="F20" s="7" t="s">
        <v>141</v>
      </c>
      <c r="G20" s="24" t="n">
        <f aca="false">IF(E20="?","n.v.",IF(E20=F20,1,0))</f>
        <v>1</v>
      </c>
    </row>
    <row r="21" customFormat="false" ht="15" hidden="false" customHeight="false" outlineLevel="0" collapsed="false">
      <c r="A21" s="6" t="s">
        <v>324</v>
      </c>
      <c r="B21" s="6" t="s">
        <v>83</v>
      </c>
      <c r="C21" s="7" t="s">
        <v>325</v>
      </c>
      <c r="D21" s="6" t="s">
        <v>199</v>
      </c>
      <c r="E21" s="7" t="s">
        <v>141</v>
      </c>
      <c r="F21" s="7" t="s">
        <v>141</v>
      </c>
      <c r="G21" s="24" t="n">
        <f aca="false">IF(E21="?","n.v.",IF(E21=F21,1,0))</f>
        <v>1</v>
      </c>
    </row>
    <row r="22" customFormat="false" ht="15" hidden="false" customHeight="false" outlineLevel="0" collapsed="false">
      <c r="A22" s="6" t="s">
        <v>337</v>
      </c>
      <c r="B22" s="6" t="s">
        <v>83</v>
      </c>
      <c r="C22" s="7" t="s">
        <v>327</v>
      </c>
      <c r="D22" s="6" t="s">
        <v>201</v>
      </c>
      <c r="E22" s="7" t="s">
        <v>141</v>
      </c>
      <c r="F22" s="7" t="s">
        <v>141</v>
      </c>
      <c r="G22" s="24" t="n">
        <f aca="false">IF(E22="?","n.v.",IF(E22=F22,1,0))</f>
        <v>1</v>
      </c>
    </row>
    <row r="23" customFormat="false" ht="15" hidden="false" customHeight="false" outlineLevel="0" collapsed="false">
      <c r="A23" s="6" t="s">
        <v>332</v>
      </c>
      <c r="B23" s="6" t="s">
        <v>83</v>
      </c>
      <c r="C23" s="7" t="s">
        <v>340</v>
      </c>
      <c r="D23" s="6" t="s">
        <v>204</v>
      </c>
      <c r="E23" s="7" t="s">
        <v>141</v>
      </c>
      <c r="F23" s="7" t="s">
        <v>139</v>
      </c>
      <c r="G23" s="24" t="n">
        <f aca="false">IF(E23="?","n.v.",IF(E23=F23,1,0))</f>
        <v>0</v>
      </c>
    </row>
    <row r="24" customFormat="false" ht="15" hidden="false" customHeight="false" outlineLevel="0" collapsed="false">
      <c r="A24" s="6" t="s">
        <v>337</v>
      </c>
      <c r="B24" s="6" t="s">
        <v>83</v>
      </c>
      <c r="C24" s="7" t="s">
        <v>331</v>
      </c>
      <c r="D24" s="6" t="s">
        <v>208</v>
      </c>
      <c r="E24" s="7" t="s">
        <v>141</v>
      </c>
      <c r="F24" s="7" t="s">
        <v>141</v>
      </c>
      <c r="G24" s="24" t="n">
        <f aca="false">IF(E24="?","n.v.",IF(E24=F24,1,0))</f>
        <v>1</v>
      </c>
    </row>
    <row r="25" customFormat="false" ht="15" hidden="false" customHeight="false" outlineLevel="0" collapsed="false">
      <c r="A25" s="6" t="s">
        <v>326</v>
      </c>
      <c r="B25" s="6" t="s">
        <v>83</v>
      </c>
      <c r="C25" s="7" t="s">
        <v>331</v>
      </c>
      <c r="D25" s="6" t="s">
        <v>208</v>
      </c>
      <c r="E25" s="7" t="s">
        <v>141</v>
      </c>
      <c r="F25" s="7" t="s">
        <v>141</v>
      </c>
      <c r="G25" s="24" t="n">
        <f aca="false">IF(E25="?","n.v.",IF(E25=F25,1,0))</f>
        <v>1</v>
      </c>
    </row>
    <row r="26" customFormat="false" ht="15" hidden="false" customHeight="false" outlineLevel="0" collapsed="false">
      <c r="A26" s="6" t="s">
        <v>328</v>
      </c>
      <c r="B26" s="6" t="s">
        <v>83</v>
      </c>
      <c r="C26" s="7" t="s">
        <v>331</v>
      </c>
      <c r="D26" s="6" t="s">
        <v>208</v>
      </c>
      <c r="E26" s="7" t="s">
        <v>141</v>
      </c>
      <c r="F26" s="7" t="s">
        <v>141</v>
      </c>
      <c r="G26" s="24" t="n">
        <f aca="false">IF(E26="?","n.v.",IF(E26=F26,1,0))</f>
        <v>1</v>
      </c>
    </row>
    <row r="27" customFormat="false" ht="15" hidden="false" customHeight="false" outlineLevel="0" collapsed="false">
      <c r="A27" s="6" t="s">
        <v>328</v>
      </c>
      <c r="B27" s="6" t="s">
        <v>83</v>
      </c>
      <c r="C27" s="7" t="s">
        <v>339</v>
      </c>
      <c r="D27" s="6" t="s">
        <v>210</v>
      </c>
      <c r="E27" s="7" t="s">
        <v>141</v>
      </c>
      <c r="F27" s="7" t="s">
        <v>141</v>
      </c>
      <c r="G27" s="24" t="n">
        <f aca="false">IF(E27="?","n.v.",IF(E27=F27,1,0))</f>
        <v>1</v>
      </c>
    </row>
    <row r="28" customFormat="false" ht="23.85" hidden="false" customHeight="false" outlineLevel="0" collapsed="false">
      <c r="A28" s="6" t="s">
        <v>341</v>
      </c>
      <c r="B28" s="6" t="s">
        <v>83</v>
      </c>
      <c r="C28" s="7" t="s">
        <v>333</v>
      </c>
      <c r="D28" s="6" t="s">
        <v>213</v>
      </c>
      <c r="E28" s="7" t="s">
        <v>139</v>
      </c>
      <c r="F28" s="7" t="s">
        <v>141</v>
      </c>
      <c r="G28" s="24" t="n">
        <f aca="false">IF(E28="?","n.v.",IF(E28=F28,1,0))</f>
        <v>0</v>
      </c>
    </row>
    <row r="29" customFormat="false" ht="23.85" hidden="false" customHeight="false" outlineLevel="0" collapsed="false">
      <c r="A29" s="6" t="s">
        <v>328</v>
      </c>
      <c r="B29" s="6" t="s">
        <v>83</v>
      </c>
      <c r="C29" s="7" t="s">
        <v>333</v>
      </c>
      <c r="D29" s="6" t="s">
        <v>213</v>
      </c>
      <c r="E29" s="7" t="s">
        <v>139</v>
      </c>
      <c r="F29" s="7" t="s">
        <v>141</v>
      </c>
      <c r="G29" s="24" t="n">
        <f aca="false">IF(E29="?","n.v.",IF(E29=F29,1,0))</f>
        <v>0</v>
      </c>
    </row>
    <row r="30" customFormat="false" ht="15" hidden="false" customHeight="false" outlineLevel="0" collapsed="false">
      <c r="A30" s="6" t="s">
        <v>341</v>
      </c>
      <c r="B30" s="6" t="s">
        <v>84</v>
      </c>
      <c r="C30" s="7" t="s">
        <v>327</v>
      </c>
      <c r="D30" s="6" t="s">
        <v>223</v>
      </c>
      <c r="E30" s="7" t="s">
        <v>141</v>
      </c>
      <c r="F30" s="7" t="s">
        <v>141</v>
      </c>
      <c r="G30" s="24" t="n">
        <f aca="false">IF(E30="?","n.v.",IF(E30=F30,1,0))</f>
        <v>1</v>
      </c>
    </row>
    <row r="31" customFormat="false" ht="15" hidden="false" customHeight="false" outlineLevel="0" collapsed="false">
      <c r="A31" s="6" t="s">
        <v>332</v>
      </c>
      <c r="B31" s="6" t="s">
        <v>84</v>
      </c>
      <c r="C31" s="7" t="s">
        <v>340</v>
      </c>
      <c r="D31" s="6" t="s">
        <v>226</v>
      </c>
      <c r="E31" s="7" t="s">
        <v>141</v>
      </c>
      <c r="F31" s="7" t="s">
        <v>139</v>
      </c>
      <c r="G31" s="24" t="n">
        <f aca="false">IF(E31="?","n.v.",IF(E31=F31,1,0))</f>
        <v>0</v>
      </c>
    </row>
    <row r="32" customFormat="false" ht="15" hidden="false" customHeight="false" outlineLevel="0" collapsed="false">
      <c r="A32" s="6" t="s">
        <v>326</v>
      </c>
      <c r="B32" s="6" t="s">
        <v>84</v>
      </c>
      <c r="C32" s="7" t="s">
        <v>329</v>
      </c>
      <c r="D32" s="6" t="s">
        <v>229</v>
      </c>
      <c r="E32" s="7" t="s">
        <v>141</v>
      </c>
      <c r="F32" s="7" t="s">
        <v>139</v>
      </c>
      <c r="G32" s="24" t="n">
        <f aca="false">IF(E32="?","n.v.",IF(E32=F32,1,0))</f>
        <v>0</v>
      </c>
    </row>
    <row r="33" customFormat="false" ht="15" hidden="false" customHeight="false" outlineLevel="0" collapsed="false">
      <c r="A33" s="6" t="s">
        <v>337</v>
      </c>
      <c r="B33" s="6" t="s">
        <v>84</v>
      </c>
      <c r="C33" s="7" t="s">
        <v>331</v>
      </c>
      <c r="D33" s="6" t="s">
        <v>232</v>
      </c>
      <c r="E33" s="7" t="s">
        <v>141</v>
      </c>
      <c r="F33" s="7" t="s">
        <v>141</v>
      </c>
      <c r="G33" s="24" t="n">
        <f aca="false">IF(E33="?","n.v.",IF(E33=F33,1,0))</f>
        <v>1</v>
      </c>
    </row>
    <row r="34" customFormat="false" ht="15" hidden="false" customHeight="false" outlineLevel="0" collapsed="false">
      <c r="A34" s="6" t="s">
        <v>342</v>
      </c>
      <c r="B34" s="6" t="s">
        <v>84</v>
      </c>
      <c r="C34" s="7" t="s">
        <v>339</v>
      </c>
      <c r="D34" s="6" t="s">
        <v>234</v>
      </c>
      <c r="E34" s="7" t="s">
        <v>141</v>
      </c>
      <c r="F34" s="7" t="s">
        <v>141</v>
      </c>
      <c r="G34" s="24" t="n">
        <f aca="false">IF(E34="?","n.v.",IF(E34=F34,1,0))</f>
        <v>1</v>
      </c>
    </row>
    <row r="35" customFormat="false" ht="15" hidden="false" customHeight="false" outlineLevel="0" collapsed="false">
      <c r="A35" s="6" t="s">
        <v>332</v>
      </c>
      <c r="B35" s="6" t="s">
        <v>84</v>
      </c>
      <c r="C35" s="7" t="s">
        <v>333</v>
      </c>
      <c r="D35" s="6" t="s">
        <v>237</v>
      </c>
      <c r="E35" s="7" t="s">
        <v>141</v>
      </c>
      <c r="F35" s="7" t="s">
        <v>141</v>
      </c>
      <c r="G35" s="24" t="n">
        <f aca="false">IF(E35="?","n.v.",IF(E35=F35,1,0))</f>
        <v>1</v>
      </c>
    </row>
    <row r="36" customFormat="false" ht="15" hidden="false" customHeight="false" outlineLevel="0" collapsed="false">
      <c r="A36" s="6" t="s">
        <v>338</v>
      </c>
      <c r="B36" s="6" t="s">
        <v>84</v>
      </c>
      <c r="C36" s="7" t="s">
        <v>334</v>
      </c>
      <c r="D36" s="6" t="s">
        <v>239</v>
      </c>
      <c r="E36" s="7" t="s">
        <v>141</v>
      </c>
      <c r="F36" s="7" t="s">
        <v>141</v>
      </c>
      <c r="G36" s="24" t="n">
        <f aca="false">IF(E36="?","n.v.",IF(E36=F36,1,0))</f>
        <v>1</v>
      </c>
    </row>
    <row r="37" customFormat="false" ht="15" hidden="false" customHeight="false" outlineLevel="0" collapsed="false">
      <c r="A37" s="6" t="s">
        <v>342</v>
      </c>
      <c r="B37" s="6" t="s">
        <v>84</v>
      </c>
      <c r="C37" s="7" t="s">
        <v>334</v>
      </c>
      <c r="D37" s="6" t="s">
        <v>239</v>
      </c>
      <c r="E37" s="7" t="s">
        <v>141</v>
      </c>
      <c r="F37" s="7" t="s">
        <v>141</v>
      </c>
      <c r="G37" s="24" t="n">
        <f aca="false">IF(E37="?","n.v.",IF(E37=F37,1,0))</f>
        <v>1</v>
      </c>
    </row>
    <row r="38" customFormat="false" ht="15" hidden="false" customHeight="false" outlineLevel="0" collapsed="false">
      <c r="A38" s="6" t="s">
        <v>328</v>
      </c>
      <c r="B38" s="6" t="s">
        <v>84</v>
      </c>
      <c r="C38" s="7" t="s">
        <v>335</v>
      </c>
      <c r="D38" s="6" t="s">
        <v>242</v>
      </c>
      <c r="E38" s="7" t="s">
        <v>141</v>
      </c>
      <c r="F38" s="7" t="s">
        <v>141</v>
      </c>
      <c r="G38" s="24" t="n">
        <f aca="false">IF(E38="?","n.v.",IF(E38=F38,1,0))</f>
        <v>1</v>
      </c>
    </row>
    <row r="39" customFormat="false" ht="15" hidden="false" customHeight="false" outlineLevel="0" collapsed="false">
      <c r="A39" s="6" t="s">
        <v>328</v>
      </c>
      <c r="B39" s="6" t="s">
        <v>84</v>
      </c>
      <c r="C39" s="7" t="s">
        <v>336</v>
      </c>
      <c r="D39" s="6" t="s">
        <v>247</v>
      </c>
      <c r="E39" s="7" t="s">
        <v>141</v>
      </c>
      <c r="F39" s="7" t="s">
        <v>141</v>
      </c>
      <c r="G39" s="24" t="n">
        <f aca="false">IF(E39="?","n.v.",IF(E39=F39,1,0))</f>
        <v>1</v>
      </c>
    </row>
    <row r="40" customFormat="false" ht="15" hidden="false" customHeight="false" outlineLevel="0" collapsed="false">
      <c r="A40" s="6" t="s">
        <v>337</v>
      </c>
      <c r="B40" s="6" t="s">
        <v>85</v>
      </c>
      <c r="C40" s="7" t="s">
        <v>343</v>
      </c>
      <c r="D40" s="6" t="s">
        <v>250</v>
      </c>
      <c r="E40" s="7" t="s">
        <v>141</v>
      </c>
      <c r="F40" s="7" t="s">
        <v>141</v>
      </c>
      <c r="G40" s="24" t="n">
        <f aca="false">IF(E40="?","n.v.",IF(E40=F40,1,0))</f>
        <v>1</v>
      </c>
    </row>
    <row r="41" customFormat="false" ht="15" hidden="false" customHeight="false" outlineLevel="0" collapsed="false">
      <c r="A41" s="6" t="s">
        <v>324</v>
      </c>
      <c r="B41" s="6" t="s">
        <v>85</v>
      </c>
      <c r="C41" s="7" t="s">
        <v>325</v>
      </c>
      <c r="D41" s="6" t="s">
        <v>252</v>
      </c>
      <c r="E41" s="7" t="s">
        <v>141</v>
      </c>
      <c r="F41" s="7" t="s">
        <v>141</v>
      </c>
      <c r="G41" s="24" t="n">
        <f aca="false">IF(E41="?","n.v.",IF(E41=F41,1,0))</f>
        <v>1</v>
      </c>
    </row>
    <row r="42" customFormat="false" ht="15" hidden="false" customHeight="false" outlineLevel="0" collapsed="false">
      <c r="A42" s="6" t="s">
        <v>337</v>
      </c>
      <c r="B42" s="6" t="s">
        <v>85</v>
      </c>
      <c r="C42" s="7" t="s">
        <v>327</v>
      </c>
      <c r="D42" s="6" t="s">
        <v>250</v>
      </c>
      <c r="E42" s="7" t="s">
        <v>141</v>
      </c>
      <c r="F42" s="7" t="s">
        <v>141</v>
      </c>
      <c r="G42" s="24" t="n">
        <f aca="false">IF(E42="?","n.v.",IF(E42=F42,1,0))</f>
        <v>1</v>
      </c>
    </row>
    <row r="43" customFormat="false" ht="15" hidden="false" customHeight="false" outlineLevel="0" collapsed="false">
      <c r="A43" s="6" t="s">
        <v>337</v>
      </c>
      <c r="B43" s="6" t="s">
        <v>85</v>
      </c>
      <c r="C43" s="7" t="s">
        <v>331</v>
      </c>
      <c r="D43" s="6" t="s">
        <v>250</v>
      </c>
      <c r="E43" s="7" t="s">
        <v>141</v>
      </c>
      <c r="F43" s="7" t="s">
        <v>141</v>
      </c>
      <c r="G43" s="24" t="n">
        <f aca="false">IF(E43="?","n.v.",IF(E43=F43,1,0))</f>
        <v>1</v>
      </c>
    </row>
    <row r="44" customFormat="false" ht="15" hidden="false" customHeight="false" outlineLevel="0" collapsed="false">
      <c r="A44" s="6" t="s">
        <v>332</v>
      </c>
      <c r="B44" s="6" t="s">
        <v>85</v>
      </c>
      <c r="C44" s="7" t="s">
        <v>333</v>
      </c>
      <c r="D44" s="6" t="s">
        <v>262</v>
      </c>
      <c r="E44" s="7" t="s">
        <v>167</v>
      </c>
      <c r="F44" s="7" t="s">
        <v>141</v>
      </c>
      <c r="G44" s="24" t="str">
        <f aca="false">IF(E44="?","n.v.",IF(E44=F44,1,0))</f>
        <v>n.v.</v>
      </c>
    </row>
    <row r="45" customFormat="false" ht="15" hidden="false" customHeight="false" outlineLevel="0" collapsed="false">
      <c r="A45" s="6" t="s">
        <v>342</v>
      </c>
      <c r="B45" s="6" t="s">
        <v>85</v>
      </c>
      <c r="C45" s="7" t="s">
        <v>334</v>
      </c>
      <c r="D45" s="6" t="s">
        <v>265</v>
      </c>
      <c r="E45" s="7" t="s">
        <v>141</v>
      </c>
      <c r="F45" s="7" t="s">
        <v>141</v>
      </c>
      <c r="G45" s="24" t="n">
        <f aca="false">IF(E45="?","n.v.",IF(E45=F45,1,0))</f>
        <v>1</v>
      </c>
    </row>
    <row r="46" customFormat="false" ht="15" hidden="false" customHeight="false" outlineLevel="0" collapsed="false">
      <c r="A46" s="6" t="s">
        <v>328</v>
      </c>
      <c r="B46" s="6" t="s">
        <v>85</v>
      </c>
      <c r="C46" s="7" t="s">
        <v>335</v>
      </c>
      <c r="D46" s="6" t="s">
        <v>210</v>
      </c>
      <c r="E46" s="7" t="s">
        <v>141</v>
      </c>
      <c r="F46" s="7" t="s">
        <v>141</v>
      </c>
      <c r="G46" s="24" t="n">
        <f aca="false">IF(E46="?","n.v.",IF(E46=F46,1,0))</f>
        <v>1</v>
      </c>
    </row>
    <row r="47" customFormat="false" ht="15" hidden="false" customHeight="false" outlineLevel="0" collapsed="false">
      <c r="A47" s="6" t="s">
        <v>342</v>
      </c>
      <c r="B47" s="6" t="s">
        <v>81</v>
      </c>
      <c r="C47" s="7" t="s">
        <v>344</v>
      </c>
      <c r="D47" s="6" t="s">
        <v>302</v>
      </c>
      <c r="E47" s="7" t="s">
        <v>300</v>
      </c>
      <c r="F47" s="7" t="s">
        <v>300</v>
      </c>
      <c r="G47" s="24" t="n">
        <f aca="false">IF(E47=F47,1,0)</f>
        <v>1</v>
      </c>
    </row>
    <row r="48" customFormat="false" ht="15" hidden="false" customHeight="false" outlineLevel="0" collapsed="false">
      <c r="A48" s="6" t="s">
        <v>330</v>
      </c>
      <c r="B48" s="6" t="s">
        <v>81</v>
      </c>
      <c r="C48" s="7" t="s">
        <v>345</v>
      </c>
      <c r="D48" s="6" t="s">
        <v>304</v>
      </c>
      <c r="E48" s="7" t="s">
        <v>300</v>
      </c>
      <c r="F48" s="7" t="s">
        <v>300</v>
      </c>
      <c r="G48" s="24" t="n">
        <f aca="false">IF(E48=F48,1,0)</f>
        <v>1</v>
      </c>
    </row>
    <row r="49" customFormat="false" ht="15" hidden="false" customHeight="false" outlineLevel="0" collapsed="false">
      <c r="A49" s="6" t="s">
        <v>337</v>
      </c>
      <c r="B49" s="6" t="s">
        <v>84</v>
      </c>
      <c r="C49" s="7" t="s">
        <v>344</v>
      </c>
      <c r="D49" s="6" t="s">
        <v>309</v>
      </c>
      <c r="E49" s="7" t="s">
        <v>300</v>
      </c>
      <c r="F49" s="7" t="s">
        <v>300</v>
      </c>
      <c r="G49" s="24" t="n">
        <f aca="false">IF(E49=F49,1,0)</f>
        <v>1</v>
      </c>
    </row>
    <row r="51" customFormat="false" ht="15" hidden="false" customHeight="false" outlineLevel="0" collapsed="false">
      <c r="A51" s="3" t="s">
        <v>346</v>
      </c>
    </row>
    <row r="52" customFormat="false" ht="15" hidden="false" customHeight="false" outlineLevel="0" collapsed="false">
      <c r="A52" s="4" t="s">
        <v>320</v>
      </c>
      <c r="B52" s="4" t="s">
        <v>347</v>
      </c>
      <c r="C52" s="4" t="s">
        <v>348</v>
      </c>
      <c r="D52" s="4" t="s">
        <v>349</v>
      </c>
      <c r="E52" s="4" t="s">
        <v>350</v>
      </c>
      <c r="F52" s="4"/>
      <c r="G52" s="4"/>
      <c r="H52" s="4" t="s">
        <v>86</v>
      </c>
    </row>
    <row r="53" customFormat="false" ht="23.85" hidden="false" customHeight="false" outlineLevel="0" collapsed="false">
      <c r="A53" s="5" t="s">
        <v>337</v>
      </c>
      <c r="B53" s="7" t="n">
        <f aca="false">COUNTIF($A$5:$A$49,A53)</f>
        <v>10</v>
      </c>
      <c r="C53" s="6" t="s">
        <v>351</v>
      </c>
      <c r="D53" s="7" t="n">
        <f aca="false">COUNTIFS($A$5:$A$49,A53,$G$5:$G$49,1)</f>
        <v>9</v>
      </c>
      <c r="E53" s="12" t="n">
        <f aca="false">IFERROR(D53/COUNTIFS($A$5:$A$49,A53,$G$5:$G$49,"&lt;&gt;n.v."),0)</f>
        <v>0.9</v>
      </c>
      <c r="H53" s="6" t="s">
        <v>352</v>
      </c>
    </row>
    <row r="54" customFormat="false" ht="35.05" hidden="false" customHeight="false" outlineLevel="0" collapsed="false">
      <c r="A54" s="5" t="s">
        <v>328</v>
      </c>
      <c r="B54" s="7" t="n">
        <f aca="false">COUNTIF($A$5:$A$49,A54)</f>
        <v>10</v>
      </c>
      <c r="C54" s="6" t="s">
        <v>353</v>
      </c>
      <c r="D54" s="7" t="n">
        <f aca="false">COUNTIFS($A$5:$A$49,A54,$G$5:$G$49,1)</f>
        <v>7</v>
      </c>
      <c r="E54" s="12" t="n">
        <f aca="false">IFERROR(D54/COUNTIFS($A$5:$A$49,A54,$G$5:$G$49,"&lt;&gt;n.v."),0)</f>
        <v>0.7</v>
      </c>
      <c r="H54" s="6" t="s">
        <v>354</v>
      </c>
    </row>
    <row r="55" customFormat="false" ht="23.85" hidden="false" customHeight="false" outlineLevel="0" collapsed="false">
      <c r="A55" s="5" t="s">
        <v>326</v>
      </c>
      <c r="B55" s="7" t="n">
        <f aca="false">COUNTIF($A$5:$A$49,A55)</f>
        <v>4</v>
      </c>
      <c r="C55" s="6" t="s">
        <v>355</v>
      </c>
      <c r="D55" s="7" t="n">
        <f aca="false">COUNTIFS($A$5:$A$49,A55,$G$5:$G$49,1)</f>
        <v>3</v>
      </c>
      <c r="E55" s="12" t="n">
        <f aca="false">IFERROR(D55/COUNTIFS($A$5:$A$49,A55,$G$5:$G$49,"&lt;&gt;n.v."),0)</f>
        <v>0.75</v>
      </c>
      <c r="H55" s="6" t="s">
        <v>356</v>
      </c>
    </row>
    <row r="56" customFormat="false" ht="15" hidden="false" customHeight="false" outlineLevel="0" collapsed="false">
      <c r="A56" s="5" t="s">
        <v>338</v>
      </c>
      <c r="B56" s="7" t="n">
        <f aca="false">COUNTIF($A$5:$A$49,A56)</f>
        <v>3</v>
      </c>
      <c r="C56" s="6" t="s">
        <v>357</v>
      </c>
      <c r="D56" s="7" t="n">
        <f aca="false">COUNTIFS($A$5:$A$49,A56,$G$5:$G$49,1)</f>
        <v>3</v>
      </c>
      <c r="E56" s="12" t="n">
        <f aca="false">IFERROR(D56/COUNTIFS($A$5:$A$49,A56,$G$5:$G$49,"&lt;&gt;n.v."),0)</f>
        <v>1</v>
      </c>
      <c r="H56" s="6" t="s">
        <v>358</v>
      </c>
    </row>
    <row r="57" customFormat="false" ht="23.85" hidden="false" customHeight="false" outlineLevel="0" collapsed="false">
      <c r="A57" s="5" t="s">
        <v>332</v>
      </c>
      <c r="B57" s="7" t="n">
        <f aca="false">COUNTIF($A$5:$A$49,A57)</f>
        <v>7</v>
      </c>
      <c r="C57" s="6" t="s">
        <v>359</v>
      </c>
      <c r="D57" s="7" t="n">
        <f aca="false">COUNTIFS($A$5:$A$49,A57,$G$5:$G$49,1)</f>
        <v>3</v>
      </c>
      <c r="E57" s="12" t="n">
        <f aca="false">IFERROR(D57/COUNTIFS($A$5:$A$49,A57,$G$5:$G$49,"&lt;&gt;n.v."),0)</f>
        <v>0.6</v>
      </c>
      <c r="H57" s="6" t="s">
        <v>360</v>
      </c>
    </row>
    <row r="58" customFormat="false" ht="23.85" hidden="false" customHeight="false" outlineLevel="0" collapsed="false">
      <c r="A58" s="5" t="s">
        <v>342</v>
      </c>
      <c r="B58" s="7" t="n">
        <f aca="false">COUNTIF($A$5:$A$49,A58)</f>
        <v>4</v>
      </c>
      <c r="C58" s="6" t="s">
        <v>361</v>
      </c>
      <c r="D58" s="7" t="n">
        <f aca="false">COUNTIFS($A$5:$A$49,A58,$G$5:$G$49,1)</f>
        <v>4</v>
      </c>
      <c r="E58" s="12" t="n">
        <f aca="false">IFERROR(D58/COUNTIFS($A$5:$A$49,A58,$G$5:$G$49,"&lt;&gt;n.v."),0)</f>
        <v>1</v>
      </c>
      <c r="H58" s="6" t="s">
        <v>362</v>
      </c>
    </row>
    <row r="59" customFormat="false" ht="23.85" hidden="false" customHeight="false" outlineLevel="0" collapsed="false">
      <c r="A59" s="5" t="s">
        <v>324</v>
      </c>
      <c r="B59" s="7" t="n">
        <f aca="false">COUNTIF($A$5:$A$49,A59)</f>
        <v>3</v>
      </c>
      <c r="C59" s="6" t="s">
        <v>363</v>
      </c>
      <c r="D59" s="7" t="n">
        <f aca="false">COUNTIFS($A$5:$A$49,A59,$G$5:$G$49,1)</f>
        <v>3</v>
      </c>
      <c r="E59" s="12" t="n">
        <f aca="false">IFERROR(D59/COUNTIFS($A$5:$A$49,A59,$G$5:$G$49,"&lt;&gt;n.v."),0)</f>
        <v>1</v>
      </c>
      <c r="H59" s="6" t="s">
        <v>364</v>
      </c>
    </row>
    <row r="60" customFormat="false" ht="15" hidden="false" customHeight="false" outlineLevel="0" collapsed="false">
      <c r="A60" s="5" t="s">
        <v>341</v>
      </c>
      <c r="B60" s="7" t="n">
        <f aca="false">COUNTIF($A$5:$A$49,A60)</f>
        <v>2</v>
      </c>
      <c r="C60" s="6" t="s">
        <v>365</v>
      </c>
      <c r="D60" s="7" t="n">
        <f aca="false">COUNTIFS($A$5:$A$49,A60,$G$5:$G$49,1)</f>
        <v>1</v>
      </c>
      <c r="E60" s="12" t="n">
        <f aca="false">IFERROR(D60/COUNTIFS($A$5:$A$49,A60,$G$5:$G$49,"&lt;&gt;n.v."),0)</f>
        <v>0.5</v>
      </c>
      <c r="H60" s="6" t="s">
        <v>366</v>
      </c>
    </row>
    <row r="61" customFormat="false" ht="15" hidden="false" customHeight="false" outlineLevel="0" collapsed="false">
      <c r="A61" s="5" t="s">
        <v>330</v>
      </c>
      <c r="B61" s="7" t="n">
        <f aca="false">COUNTIF($A$5:$A$49,A61)</f>
        <v>2</v>
      </c>
      <c r="C61" s="6" t="s">
        <v>81</v>
      </c>
      <c r="D61" s="7" t="n">
        <f aca="false">COUNTIFS($A$5:$A$49,A61,$G$5:$G$49,1)</f>
        <v>2</v>
      </c>
      <c r="E61" s="12" t="n">
        <f aca="false">IFERROR(D61/COUNTIFS($A$5:$A$49,A61,$G$5:$G$49,"&lt;&gt;n.v."),0)</f>
        <v>1</v>
      </c>
      <c r="H61" s="6" t="s">
        <v>367</v>
      </c>
    </row>
  </sheetData>
  <conditionalFormatting sqref="G5:G49">
    <cfRule type="cellIs" priority="2" operator="equal" aboveAverage="0" equalAverage="0" bottom="0" percent="0" rank="0" text="" dxfId="8">
      <formula>1</formula>
    </cfRule>
    <cfRule type="cellIs" priority="3" operator="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3"/>
    <col collapsed="false" customWidth="true" hidden="false" outlineLevel="0" max="8" min="7" style="0" width="9"/>
    <col collapsed="false" customWidth="true" hidden="false" outlineLevel="0" max="10" min="9" style="0" width="12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368</v>
      </c>
    </row>
    <row r="2" customFormat="false" ht="15" hidden="false" customHeight="false" outlineLevel="0" collapsed="false">
      <c r="A2" s="2" t="s">
        <v>369</v>
      </c>
    </row>
    <row r="4" customFormat="false" ht="23.85" hidden="false" customHeight="false" outlineLevel="0" collapsed="false">
      <c r="A4" s="4" t="s">
        <v>370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371</v>
      </c>
      <c r="H4" s="4" t="s">
        <v>372</v>
      </c>
      <c r="I4" s="4" t="s">
        <v>373</v>
      </c>
      <c r="J4" s="4" t="s">
        <v>308</v>
      </c>
      <c r="K4" s="4" t="s">
        <v>374</v>
      </c>
    </row>
    <row r="5" customFormat="false" ht="15" hidden="false" customHeight="false" outlineLevel="0" collapsed="false">
      <c r="A5" s="5" t="s">
        <v>375</v>
      </c>
      <c r="B5" s="18" t="s">
        <v>371</v>
      </c>
      <c r="C5" s="18" t="s">
        <v>372</v>
      </c>
      <c r="D5" s="18" t="s">
        <v>371</v>
      </c>
      <c r="E5" s="18" t="s">
        <v>371</v>
      </c>
      <c r="F5" s="18" t="s">
        <v>371</v>
      </c>
      <c r="G5" s="7" t="n">
        <f aca="false">COUNTIF(B5:F5,"Sì")</f>
        <v>4</v>
      </c>
      <c r="H5" s="7" t="n">
        <f aca="false">COUNTIF(B5:F5,"No")</f>
        <v>1</v>
      </c>
      <c r="I5" s="7" t="n">
        <f aca="false">COUNTIF(B5:F5,"Non sappiamo")</f>
        <v>0</v>
      </c>
      <c r="J5" s="7" t="n">
        <f aca="false">5-G5-H5-I5</f>
        <v>0</v>
      </c>
      <c r="K5" s="7" t="str">
        <f aca="false">IF(G5=5,"Unanime: sospetta",IF(G5&gt;=(G5+H5+I5)*0.75,"Ampia maggioranza: sospetta",IF(G5&gt;H5+I5,"Maggioranza: sospetta","Divisi / incerti")))</f>
        <v>Ampia maggioranza: sospetta</v>
      </c>
    </row>
    <row r="6" customFormat="false" ht="15" hidden="false" customHeight="false" outlineLevel="0" collapsed="false">
      <c r="A6" s="5" t="s">
        <v>376</v>
      </c>
      <c r="B6" s="18" t="s">
        <v>373</v>
      </c>
      <c r="C6" s="18"/>
      <c r="D6" s="18" t="s">
        <v>371</v>
      </c>
      <c r="E6" s="18"/>
      <c r="F6" s="18" t="s">
        <v>372</v>
      </c>
      <c r="G6" s="7" t="n">
        <f aca="false">COUNTIF(B6:F6,"Sì")</f>
        <v>1</v>
      </c>
      <c r="H6" s="7" t="n">
        <f aca="false">COUNTIF(B6:F6,"No")</f>
        <v>1</v>
      </c>
      <c r="I6" s="7" t="n">
        <f aca="false">COUNTIF(B6:F6,"Non sappiamo")</f>
        <v>1</v>
      </c>
      <c r="J6" s="7" t="n">
        <f aca="false">5-G6-H6-I6</f>
        <v>2</v>
      </c>
      <c r="K6" s="7" t="str">
        <f aca="false">IF(G6=5,"Unanime: sospetta",IF(G6&gt;=(G6+H6+I6)*0.75,"Ampia maggioranza: sospetta",IF(G6&gt;H6+I6,"Maggioranza: sospetta","Divisi / incerti")))</f>
        <v>Divisi / incerti</v>
      </c>
    </row>
    <row r="7" customFormat="false" ht="15" hidden="false" customHeight="false" outlineLevel="0" collapsed="false">
      <c r="A7" s="5" t="s">
        <v>377</v>
      </c>
      <c r="B7" s="18" t="s">
        <v>371</v>
      </c>
      <c r="C7" s="18" t="s">
        <v>371</v>
      </c>
      <c r="D7" s="18" t="s">
        <v>371</v>
      </c>
      <c r="E7" s="18" t="s">
        <v>371</v>
      </c>
      <c r="F7" s="18" t="s">
        <v>372</v>
      </c>
      <c r="G7" s="7" t="n">
        <f aca="false">COUNTIF(B7:F7,"Sì")</f>
        <v>4</v>
      </c>
      <c r="H7" s="7" t="n">
        <f aca="false">COUNTIF(B7:F7,"No")</f>
        <v>1</v>
      </c>
      <c r="I7" s="7" t="n">
        <f aca="false">COUNTIF(B7:F7,"Non sappiamo")</f>
        <v>0</v>
      </c>
      <c r="J7" s="7" t="n">
        <f aca="false">5-G7-H7-I7</f>
        <v>0</v>
      </c>
      <c r="K7" s="7" t="str">
        <f aca="false">IF(G7=5,"Unanime: sospetta",IF(G7&gt;=(G7+H7+I7)*0.75,"Ampia maggioranza: sospetta",IF(G7&gt;H7+I7,"Maggioranza: sospetta","Divisi / incerti")))</f>
        <v>Ampia maggioranza: sospetta</v>
      </c>
    </row>
    <row r="8" customFormat="false" ht="15" hidden="false" customHeight="false" outlineLevel="0" collapsed="false">
      <c r="A8" s="5" t="s">
        <v>378</v>
      </c>
      <c r="B8" s="18" t="s">
        <v>371</v>
      </c>
      <c r="C8" s="18"/>
      <c r="D8" s="18" t="s">
        <v>371</v>
      </c>
      <c r="E8" s="18" t="s">
        <v>371</v>
      </c>
      <c r="F8" s="18" t="s">
        <v>371</v>
      </c>
      <c r="G8" s="7" t="n">
        <f aca="false">COUNTIF(B8:F8,"Sì")</f>
        <v>4</v>
      </c>
      <c r="H8" s="7" t="n">
        <f aca="false">COUNTIF(B8:F8,"No")</f>
        <v>0</v>
      </c>
      <c r="I8" s="7" t="n">
        <f aca="false">COUNTIF(B8:F8,"Non sappiamo")</f>
        <v>0</v>
      </c>
      <c r="J8" s="7" t="n">
        <f aca="false">5-G8-H8-I8</f>
        <v>1</v>
      </c>
      <c r="K8" s="7" t="str">
        <f aca="false">IF(G8=5,"Unanime: sospetta",IF(G8&gt;=(G8+H8+I8)*0.75,"Ampia maggioranza: sospetta",IF(G8&gt;H8+I8,"Maggioranza: sospetta","Divisi / incerti")))</f>
        <v>Ampia maggioranza: sospetta</v>
      </c>
    </row>
    <row r="9" customFormat="false" ht="15" hidden="false" customHeight="false" outlineLevel="0" collapsed="false">
      <c r="A9" s="5" t="s">
        <v>379</v>
      </c>
      <c r="B9" s="18" t="s">
        <v>371</v>
      </c>
      <c r="C9" s="18" t="s">
        <v>371</v>
      </c>
      <c r="D9" s="18" t="s">
        <v>371</v>
      </c>
      <c r="E9" s="18" t="s">
        <v>371</v>
      </c>
      <c r="F9" s="18" t="s">
        <v>373</v>
      </c>
      <c r="G9" s="7" t="n">
        <f aca="false">COUNTIF(B9:F9,"Sì")</f>
        <v>4</v>
      </c>
      <c r="H9" s="7" t="n">
        <f aca="false">COUNTIF(B9:F9,"No")</f>
        <v>0</v>
      </c>
      <c r="I9" s="7" t="n">
        <f aca="false">COUNTIF(B9:F9,"Non sappiamo")</f>
        <v>1</v>
      </c>
      <c r="J9" s="7" t="n">
        <f aca="false">5-G9-H9-I9</f>
        <v>0</v>
      </c>
      <c r="K9" s="7" t="str">
        <f aca="false">IF(G9=5,"Unanime: sospetta",IF(G9&gt;=(G9+H9+I9)*0.75,"Ampia maggioranza: sospetta",IF(G9&gt;H9+I9,"Maggioranza: sospetta","Divisi / incerti")))</f>
        <v>Ampia maggioranza: sospetta</v>
      </c>
    </row>
    <row r="11" customFormat="false" ht="15" hidden="false" customHeight="false" outlineLevel="0" collapsed="false">
      <c r="A11" s="3" t="s">
        <v>380</v>
      </c>
    </row>
    <row r="12" customFormat="false" ht="15" hidden="false" customHeight="true" outlineLevel="0" collapsed="false">
      <c r="A12" s="4" t="s">
        <v>370</v>
      </c>
      <c r="B12" s="4" t="s">
        <v>381</v>
      </c>
      <c r="C12" s="4"/>
      <c r="D12" s="4"/>
      <c r="E12" s="4"/>
      <c r="F12" s="4" t="s">
        <v>382</v>
      </c>
      <c r="G12" s="4"/>
      <c r="H12" s="4"/>
      <c r="I12" s="4"/>
      <c r="J12" s="4"/>
      <c r="K12" s="4" t="s">
        <v>383</v>
      </c>
    </row>
    <row r="13" customFormat="false" ht="135" hidden="false" customHeight="true" outlineLevel="0" collapsed="false">
      <c r="A13" s="5" t="s">
        <v>375</v>
      </c>
      <c r="B13" s="17" t="s">
        <v>384</v>
      </c>
      <c r="C13" s="17"/>
      <c r="D13" s="17"/>
      <c r="E13" s="17"/>
      <c r="F13" s="17" t="s">
        <v>385</v>
      </c>
      <c r="G13" s="17"/>
      <c r="H13" s="17"/>
      <c r="I13" s="17"/>
      <c r="J13" s="17"/>
      <c r="K13" s="6" t="s">
        <v>386</v>
      </c>
    </row>
    <row r="14" customFormat="false" ht="75" hidden="false" customHeight="true" outlineLevel="0" collapsed="false">
      <c r="A14" s="5" t="s">
        <v>376</v>
      </c>
      <c r="B14" s="17" t="s">
        <v>387</v>
      </c>
      <c r="C14" s="17"/>
      <c r="D14" s="17"/>
      <c r="E14" s="17"/>
      <c r="F14" s="17" t="s">
        <v>388</v>
      </c>
      <c r="G14" s="17"/>
      <c r="H14" s="17"/>
      <c r="I14" s="17"/>
      <c r="J14" s="17"/>
      <c r="K14" s="6" t="s">
        <v>389</v>
      </c>
    </row>
    <row r="15" customFormat="false" ht="105" hidden="false" customHeight="true" outlineLevel="0" collapsed="false">
      <c r="A15" s="5" t="s">
        <v>377</v>
      </c>
      <c r="B15" s="17" t="s">
        <v>390</v>
      </c>
      <c r="C15" s="17"/>
      <c r="D15" s="17"/>
      <c r="E15" s="17"/>
      <c r="F15" s="17" t="s">
        <v>391</v>
      </c>
      <c r="G15" s="17"/>
      <c r="H15" s="17"/>
      <c r="I15" s="17"/>
      <c r="J15" s="17"/>
      <c r="K15" s="6" t="s">
        <v>392</v>
      </c>
    </row>
    <row r="16" customFormat="false" ht="285" hidden="false" customHeight="true" outlineLevel="0" collapsed="false">
      <c r="A16" s="5" t="s">
        <v>378</v>
      </c>
      <c r="B16" s="17" t="s">
        <v>393</v>
      </c>
      <c r="C16" s="17"/>
      <c r="D16" s="17"/>
      <c r="E16" s="17"/>
      <c r="F16" s="17" t="s">
        <v>394</v>
      </c>
      <c r="G16" s="17"/>
      <c r="H16" s="17"/>
      <c r="I16" s="17"/>
      <c r="J16" s="17"/>
      <c r="K16" s="6" t="s">
        <v>395</v>
      </c>
    </row>
    <row r="17" customFormat="false" ht="210" hidden="false" customHeight="true" outlineLevel="0" collapsed="false">
      <c r="A17" s="5" t="s">
        <v>379</v>
      </c>
      <c r="B17" s="17" t="s">
        <v>396</v>
      </c>
      <c r="C17" s="17"/>
      <c r="D17" s="17"/>
      <c r="E17" s="17"/>
      <c r="F17" s="17" t="s">
        <v>397</v>
      </c>
      <c r="G17" s="17"/>
      <c r="H17" s="17"/>
      <c r="I17" s="17"/>
      <c r="J17" s="17"/>
      <c r="K17" s="6" t="s">
        <v>398</v>
      </c>
    </row>
    <row r="18" customFormat="false" ht="150" hidden="false" customHeight="true" outlineLevel="0" collapsed="false">
      <c r="A18" s="5" t="s">
        <v>399</v>
      </c>
      <c r="B18" s="17" t="s">
        <v>400</v>
      </c>
      <c r="C18" s="17"/>
      <c r="D18" s="17"/>
      <c r="E18" s="17"/>
      <c r="F18" s="17" t="s">
        <v>401</v>
      </c>
      <c r="G18" s="17"/>
      <c r="H18" s="17"/>
      <c r="I18" s="17"/>
      <c r="J18" s="17"/>
      <c r="K18" s="6" t="s">
        <v>402</v>
      </c>
    </row>
    <row r="19" customFormat="false" ht="60" hidden="false" customHeight="true" outlineLevel="0" collapsed="false">
      <c r="A19" s="5" t="s">
        <v>403</v>
      </c>
      <c r="B19" s="17" t="s">
        <v>404</v>
      </c>
      <c r="C19" s="17"/>
      <c r="D19" s="17"/>
      <c r="E19" s="17"/>
      <c r="F19" s="17" t="s">
        <v>388</v>
      </c>
      <c r="G19" s="17"/>
      <c r="H19" s="17"/>
      <c r="I19" s="17"/>
      <c r="J19" s="17"/>
      <c r="K19" s="6" t="s">
        <v>405</v>
      </c>
    </row>
  </sheetData>
  <mergeCells count="16">
    <mergeCell ref="B12:E12"/>
    <mergeCell ref="F12:J12"/>
    <mergeCell ref="B13:E13"/>
    <mergeCell ref="F13:J13"/>
    <mergeCell ref="B14:E14"/>
    <mergeCell ref="F14:J14"/>
    <mergeCell ref="B15:E15"/>
    <mergeCell ref="F15:J15"/>
    <mergeCell ref="B16:E16"/>
    <mergeCell ref="F16:J16"/>
    <mergeCell ref="B17:E17"/>
    <mergeCell ref="F17:J17"/>
    <mergeCell ref="B18:E18"/>
    <mergeCell ref="F18:J18"/>
    <mergeCell ref="B19:E19"/>
    <mergeCell ref="F19:J19"/>
  </mergeCells>
  <conditionalFormatting sqref="B5:F9">
    <cfRule type="cellIs" priority="2" operator="equal" aboveAverage="0" equalAverage="0" bottom="0" percent="0" rank="0" text="" dxfId="10">
      <formula>"No"</formula>
    </cfRule>
    <cfRule type="cellIs" priority="3" operator="equal" aboveAverage="0" equalAverage="0" bottom="0" percent="0" rank="0" text="" dxfId="11">
      <formula>"Non sappiamo"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30"/>
    <col collapsed="false" customWidth="true" hidden="false" outlineLevel="0" max="9" min="8" style="0" width="40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406</v>
      </c>
    </row>
    <row r="4" customFormat="false" ht="15" hidden="false" customHeight="false" outlineLevel="0" collapsed="false">
      <c r="A4" s="4" t="s">
        <v>407</v>
      </c>
      <c r="B4" s="4" t="s">
        <v>408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102</v>
      </c>
      <c r="I4" s="4" t="s">
        <v>104</v>
      </c>
      <c r="J4" s="4" t="s">
        <v>409</v>
      </c>
    </row>
    <row r="5" customFormat="false" ht="259.5" hidden="false" customHeight="true" outlineLevel="0" collapsed="false">
      <c r="A5" s="5" t="s">
        <v>410</v>
      </c>
      <c r="B5" s="14" t="s">
        <v>411</v>
      </c>
      <c r="C5" s="6" t="s">
        <v>412</v>
      </c>
      <c r="D5" s="6" t="s">
        <v>413</v>
      </c>
      <c r="E5" s="6" t="s">
        <v>414</v>
      </c>
      <c r="F5" s="6" t="s">
        <v>415</v>
      </c>
      <c r="G5" s="6" t="s">
        <v>416</v>
      </c>
      <c r="H5" s="29" t="s">
        <v>417</v>
      </c>
      <c r="I5" s="30" t="s">
        <v>418</v>
      </c>
      <c r="J5" s="27" t="s">
        <v>419</v>
      </c>
    </row>
    <row r="6" customFormat="false" ht="259.5" hidden="false" customHeight="true" outlineLevel="0" collapsed="false">
      <c r="A6" s="5" t="s">
        <v>420</v>
      </c>
      <c r="B6" s="14" t="s">
        <v>421</v>
      </c>
      <c r="C6" s="6" t="s">
        <v>422</v>
      </c>
      <c r="D6" s="6" t="s">
        <v>423</v>
      </c>
      <c r="E6" s="6" t="s">
        <v>424</v>
      </c>
      <c r="F6" s="6" t="s">
        <v>425</v>
      </c>
      <c r="G6" s="6" t="s">
        <v>426</v>
      </c>
      <c r="H6" s="29" t="s">
        <v>427</v>
      </c>
      <c r="I6" s="30" t="s">
        <v>428</v>
      </c>
      <c r="J6" s="27" t="s">
        <v>429</v>
      </c>
    </row>
    <row r="7" customFormat="false" ht="259.5" hidden="false" customHeight="true" outlineLevel="0" collapsed="false">
      <c r="A7" s="5" t="s">
        <v>430</v>
      </c>
      <c r="B7" s="14" t="s">
        <v>431</v>
      </c>
      <c r="C7" s="6" t="s">
        <v>432</v>
      </c>
      <c r="D7" s="6" t="s">
        <v>433</v>
      </c>
      <c r="E7" s="6" t="s">
        <v>434</v>
      </c>
      <c r="F7" s="6" t="s">
        <v>435</v>
      </c>
      <c r="G7" s="6" t="s">
        <v>436</v>
      </c>
      <c r="H7" s="29" t="s">
        <v>437</v>
      </c>
      <c r="I7" s="30" t="s">
        <v>438</v>
      </c>
      <c r="J7" s="27" t="s">
        <v>439</v>
      </c>
    </row>
    <row r="8" customFormat="false" ht="259.5" hidden="false" customHeight="true" outlineLevel="0" collapsed="false">
      <c r="A8" s="5" t="s">
        <v>440</v>
      </c>
      <c r="B8" s="14" t="s">
        <v>441</v>
      </c>
      <c r="C8" s="6" t="s">
        <v>442</v>
      </c>
      <c r="D8" s="6" t="s">
        <v>443</v>
      </c>
      <c r="E8" s="6" t="s">
        <v>444</v>
      </c>
      <c r="F8" s="6" t="s">
        <v>445</v>
      </c>
      <c r="G8" s="6" t="s">
        <v>446</v>
      </c>
      <c r="H8" s="29" t="s">
        <v>447</v>
      </c>
      <c r="I8" s="30" t="s">
        <v>448</v>
      </c>
      <c r="J8" s="27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0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450</v>
      </c>
    </row>
    <row r="4" customFormat="false" ht="23.85" hidden="false" customHeight="false" outlineLevel="0" collapsed="false">
      <c r="A4" s="4" t="s">
        <v>14</v>
      </c>
      <c r="B4" s="4" t="s">
        <v>451</v>
      </c>
      <c r="C4" s="4" t="s">
        <v>452</v>
      </c>
      <c r="D4" s="4" t="s">
        <v>453</v>
      </c>
      <c r="E4" s="4" t="s">
        <v>454</v>
      </c>
    </row>
    <row r="5" customFormat="false" ht="15" hidden="false" customHeight="false" outlineLevel="0" collapsed="false">
      <c r="A5" s="27" t="s">
        <v>455</v>
      </c>
      <c r="B5" s="6" t="s">
        <v>375</v>
      </c>
      <c r="C5" s="7"/>
      <c r="D5" s="6" t="s">
        <v>456</v>
      </c>
      <c r="E5" s="6" t="s">
        <v>457</v>
      </c>
    </row>
    <row r="6" customFormat="false" ht="15" hidden="false" customHeight="false" outlineLevel="0" collapsed="false">
      <c r="A6" s="27" t="s">
        <v>458</v>
      </c>
      <c r="B6" s="6" t="s">
        <v>375</v>
      </c>
      <c r="C6" s="7"/>
      <c r="D6" s="6" t="s">
        <v>459</v>
      </c>
      <c r="E6" s="6" t="s">
        <v>457</v>
      </c>
    </row>
    <row r="7" customFormat="false" ht="15" hidden="false" customHeight="false" outlineLevel="0" collapsed="false">
      <c r="A7" s="27" t="s">
        <v>460</v>
      </c>
      <c r="B7" s="6" t="s">
        <v>375</v>
      </c>
      <c r="C7" s="7"/>
      <c r="D7" s="6" t="s">
        <v>461</v>
      </c>
      <c r="E7" s="6" t="s">
        <v>462</v>
      </c>
    </row>
    <row r="8" customFormat="false" ht="15" hidden="false" customHeight="false" outlineLevel="0" collapsed="false">
      <c r="A8" s="27" t="s">
        <v>463</v>
      </c>
      <c r="B8" s="6" t="s">
        <v>375</v>
      </c>
      <c r="C8" s="7"/>
      <c r="D8" s="6" t="s">
        <v>464</v>
      </c>
      <c r="E8" s="6" t="s">
        <v>457</v>
      </c>
    </row>
    <row r="9" customFormat="false" ht="15" hidden="false" customHeight="false" outlineLevel="0" collapsed="false">
      <c r="A9" s="27" t="s">
        <v>465</v>
      </c>
      <c r="B9" s="6" t="s">
        <v>375</v>
      </c>
      <c r="C9" s="7"/>
      <c r="D9" s="6" t="s">
        <v>466</v>
      </c>
      <c r="E9" s="6" t="s">
        <v>457</v>
      </c>
    </row>
    <row r="10" customFormat="false" ht="15" hidden="false" customHeight="false" outlineLevel="0" collapsed="false">
      <c r="A10" s="27" t="s">
        <v>467</v>
      </c>
      <c r="B10" s="6" t="s">
        <v>468</v>
      </c>
      <c r="C10" s="7"/>
      <c r="D10" s="6" t="s">
        <v>469</v>
      </c>
      <c r="E10" s="6" t="s">
        <v>470</v>
      </c>
    </row>
    <row r="11" customFormat="false" ht="15" hidden="false" customHeight="false" outlineLevel="0" collapsed="false">
      <c r="A11" s="27" t="s">
        <v>471</v>
      </c>
      <c r="B11" s="6" t="s">
        <v>377</v>
      </c>
      <c r="C11" s="7"/>
      <c r="D11" s="6" t="s">
        <v>472</v>
      </c>
      <c r="E11" s="6" t="s">
        <v>457</v>
      </c>
    </row>
    <row r="12" customFormat="false" ht="15" hidden="false" customHeight="false" outlineLevel="0" collapsed="false">
      <c r="A12" s="27" t="s">
        <v>473</v>
      </c>
      <c r="B12" s="6" t="s">
        <v>377</v>
      </c>
      <c r="C12" s="7"/>
      <c r="D12" s="6" t="s">
        <v>474</v>
      </c>
      <c r="E12" s="6" t="s">
        <v>475</v>
      </c>
    </row>
    <row r="13" customFormat="false" ht="15" hidden="false" customHeight="false" outlineLevel="0" collapsed="false">
      <c r="A13" s="27" t="s">
        <v>476</v>
      </c>
      <c r="B13" s="6" t="s">
        <v>377</v>
      </c>
      <c r="C13" s="7"/>
      <c r="D13" s="6" t="s">
        <v>477</v>
      </c>
      <c r="E13" s="6" t="s">
        <v>457</v>
      </c>
    </row>
    <row r="14" customFormat="false" ht="15" hidden="false" customHeight="false" outlineLevel="0" collapsed="false">
      <c r="A14" s="27" t="s">
        <v>478</v>
      </c>
      <c r="B14" s="6" t="s">
        <v>479</v>
      </c>
      <c r="C14" s="7"/>
      <c r="D14" s="6" t="s">
        <v>480</v>
      </c>
      <c r="E14" s="6" t="s">
        <v>470</v>
      </c>
    </row>
    <row r="15" customFormat="false" ht="15" hidden="false" customHeight="false" outlineLevel="0" collapsed="false">
      <c r="A15" s="27" t="s">
        <v>481</v>
      </c>
      <c r="B15" s="6" t="s">
        <v>479</v>
      </c>
      <c r="C15" s="7"/>
      <c r="D15" s="6" t="s">
        <v>482</v>
      </c>
      <c r="E15" s="6" t="s">
        <v>483</v>
      </c>
    </row>
    <row r="16" customFormat="false" ht="15" hidden="false" customHeight="false" outlineLevel="0" collapsed="false">
      <c r="A16" s="27" t="s">
        <v>484</v>
      </c>
      <c r="B16" s="6" t="s">
        <v>485</v>
      </c>
      <c r="C16" s="7"/>
      <c r="D16" s="6" t="s">
        <v>486</v>
      </c>
      <c r="E16" s="6" t="s">
        <v>457</v>
      </c>
    </row>
    <row r="17" customFormat="false" ht="15" hidden="false" customHeight="false" outlineLevel="0" collapsed="false">
      <c r="A17" s="27" t="s">
        <v>487</v>
      </c>
      <c r="B17" s="6" t="s">
        <v>485</v>
      </c>
      <c r="C17" s="7"/>
      <c r="D17" s="6" t="s">
        <v>488</v>
      </c>
      <c r="E17" s="6" t="s">
        <v>457</v>
      </c>
    </row>
    <row r="18" customFormat="false" ht="23.85" hidden="false" customHeight="false" outlineLevel="0" collapsed="false">
      <c r="A18" s="27" t="s">
        <v>489</v>
      </c>
      <c r="B18" s="6" t="s">
        <v>490</v>
      </c>
      <c r="C18" s="7"/>
      <c r="D18" s="6" t="s">
        <v>491</v>
      </c>
      <c r="E18" s="6" t="s">
        <v>457</v>
      </c>
    </row>
    <row r="19" customFormat="false" ht="15" hidden="false" customHeight="false" outlineLevel="0" collapsed="false">
      <c r="A19" s="27" t="s">
        <v>492</v>
      </c>
      <c r="B19" s="6" t="s">
        <v>490</v>
      </c>
      <c r="C19" s="7" t="s">
        <v>493</v>
      </c>
      <c r="D19" s="6" t="s">
        <v>494</v>
      </c>
      <c r="E19" s="6" t="s">
        <v>495</v>
      </c>
    </row>
    <row r="20" customFormat="false" ht="15" hidden="false" customHeight="false" outlineLevel="0" collapsed="false">
      <c r="A20" s="27" t="s">
        <v>496</v>
      </c>
      <c r="B20" s="6" t="s">
        <v>479</v>
      </c>
      <c r="C20" s="7"/>
      <c r="D20" s="6" t="s">
        <v>497</v>
      </c>
      <c r="E20" s="6" t="s">
        <v>457</v>
      </c>
    </row>
    <row r="21" customFormat="false" ht="15" hidden="false" customHeight="false" outlineLevel="0" collapsed="false">
      <c r="A21" s="27" t="s">
        <v>498</v>
      </c>
      <c r="B21" s="6" t="s">
        <v>479</v>
      </c>
      <c r="C21" s="7"/>
      <c r="D21" s="6" t="s">
        <v>499</v>
      </c>
      <c r="E21" s="6" t="s">
        <v>475</v>
      </c>
    </row>
    <row r="22" customFormat="false" ht="23.85" hidden="false" customHeight="false" outlineLevel="0" collapsed="false">
      <c r="A22" s="27" t="s">
        <v>500</v>
      </c>
      <c r="B22" s="6" t="s">
        <v>379</v>
      </c>
      <c r="C22" s="7"/>
      <c r="D22" s="6" t="s">
        <v>501</v>
      </c>
      <c r="E22" s="6" t="s">
        <v>502</v>
      </c>
    </row>
    <row r="23" customFormat="false" ht="15" hidden="false" customHeight="false" outlineLevel="0" collapsed="false">
      <c r="A23" s="27" t="s">
        <v>503</v>
      </c>
      <c r="B23" s="6" t="s">
        <v>379</v>
      </c>
      <c r="C23" s="7"/>
      <c r="D23" s="6" t="s">
        <v>504</v>
      </c>
      <c r="E23" s="6" t="s">
        <v>457</v>
      </c>
    </row>
    <row r="24" customFormat="false" ht="23.85" hidden="false" customHeight="false" outlineLevel="0" collapsed="false">
      <c r="A24" s="27" t="s">
        <v>505</v>
      </c>
      <c r="B24" s="6" t="s">
        <v>379</v>
      </c>
      <c r="C24" s="7"/>
      <c r="D24" s="6" t="s">
        <v>506</v>
      </c>
      <c r="E24" s="6" t="s">
        <v>502</v>
      </c>
    </row>
    <row r="25" customFormat="false" ht="23.85" hidden="false" customHeight="false" outlineLevel="0" collapsed="false">
      <c r="A25" s="27" t="s">
        <v>507</v>
      </c>
      <c r="B25" s="6" t="s">
        <v>379</v>
      </c>
      <c r="C25" s="7"/>
      <c r="D25" s="6" t="s">
        <v>508</v>
      </c>
      <c r="E25" s="6" t="s">
        <v>457</v>
      </c>
    </row>
    <row r="26" customFormat="false" ht="15" hidden="false" customHeight="false" outlineLevel="0" collapsed="false">
      <c r="A26" s="27" t="s">
        <v>509</v>
      </c>
      <c r="B26" s="6" t="s">
        <v>379</v>
      </c>
      <c r="C26" s="7"/>
      <c r="D26" s="6" t="s">
        <v>510</v>
      </c>
      <c r="E26" s="6" t="s">
        <v>502</v>
      </c>
    </row>
    <row r="27" customFormat="false" ht="23.85" hidden="false" customHeight="false" outlineLevel="0" collapsed="false">
      <c r="A27" s="27" t="s">
        <v>511</v>
      </c>
      <c r="B27" s="6" t="s">
        <v>399</v>
      </c>
      <c r="C27" s="7" t="s">
        <v>512</v>
      </c>
      <c r="D27" s="6" t="s">
        <v>513</v>
      </c>
      <c r="E27" s="6" t="s">
        <v>514</v>
      </c>
    </row>
    <row r="28" customFormat="false" ht="23.85" hidden="false" customHeight="false" outlineLevel="0" collapsed="false">
      <c r="A28" s="27" t="s">
        <v>515</v>
      </c>
      <c r="B28" s="6" t="s">
        <v>399</v>
      </c>
      <c r="C28" s="7"/>
      <c r="D28" s="6" t="s">
        <v>516</v>
      </c>
      <c r="E28" s="6" t="s">
        <v>514</v>
      </c>
    </row>
    <row r="29" customFormat="false" ht="15" hidden="false" customHeight="false" outlineLevel="0" collapsed="false">
      <c r="A29" s="27" t="s">
        <v>517</v>
      </c>
      <c r="B29" s="6" t="s">
        <v>399</v>
      </c>
      <c r="C29" s="7"/>
      <c r="D29" s="6" t="s">
        <v>518</v>
      </c>
      <c r="E29" s="6" t="s">
        <v>514</v>
      </c>
    </row>
    <row r="30" customFormat="false" ht="23.85" hidden="false" customHeight="false" outlineLevel="0" collapsed="false">
      <c r="A30" s="27" t="s">
        <v>519</v>
      </c>
      <c r="B30" s="6" t="s">
        <v>520</v>
      </c>
      <c r="C30" s="7"/>
      <c r="D30" s="6" t="s">
        <v>521</v>
      </c>
      <c r="E30" s="6" t="s">
        <v>522</v>
      </c>
    </row>
    <row r="31" customFormat="false" ht="15" hidden="false" customHeight="false" outlineLevel="0" collapsed="false">
      <c r="A31" s="27" t="s">
        <v>523</v>
      </c>
      <c r="B31" s="6" t="s">
        <v>468</v>
      </c>
      <c r="C31" s="7"/>
      <c r="D31" s="6" t="s">
        <v>524</v>
      </c>
      <c r="E31" s="6" t="s">
        <v>525</v>
      </c>
    </row>
    <row r="32" customFormat="false" ht="15" hidden="false" customHeight="false" outlineLevel="0" collapsed="false">
      <c r="A32" s="27" t="s">
        <v>526</v>
      </c>
      <c r="B32" s="6" t="s">
        <v>468</v>
      </c>
      <c r="C32" s="7"/>
      <c r="D32" s="6" t="s">
        <v>527</v>
      </c>
      <c r="E32" s="6" t="s">
        <v>525</v>
      </c>
    </row>
    <row r="34" customFormat="false" ht="15" hidden="false" customHeight="false" outlineLevel="0" collapsed="false">
      <c r="A34" s="4"/>
      <c r="B34" s="4" t="s">
        <v>454</v>
      </c>
      <c r="C34" s="4" t="s">
        <v>528</v>
      </c>
    </row>
    <row r="35" customFormat="false" ht="15" hidden="false" customHeight="false" outlineLevel="0" collapsed="false">
      <c r="B35" s="5" t="s">
        <v>525</v>
      </c>
      <c r="C35" s="7" t="n">
        <f aca="false">COUNTIF($E$5:$E$32,B35)</f>
        <v>2</v>
      </c>
    </row>
    <row r="36" customFormat="false" ht="15" hidden="false" customHeight="false" outlineLevel="0" collapsed="false">
      <c r="B36" s="5" t="s">
        <v>522</v>
      </c>
      <c r="C36" s="7" t="n">
        <f aca="false">COUNTIF($E$5:$E$32,B36)</f>
        <v>1</v>
      </c>
    </row>
    <row r="37" customFormat="false" ht="15" hidden="false" customHeight="false" outlineLevel="0" collapsed="false">
      <c r="B37" s="5" t="s">
        <v>470</v>
      </c>
      <c r="C37" s="7" t="n">
        <f aca="false">COUNTIF($E$5:$E$32,B37)</f>
        <v>2</v>
      </c>
    </row>
    <row r="38" customFormat="false" ht="23.85" hidden="false" customHeight="false" outlineLevel="0" collapsed="false">
      <c r="B38" s="5" t="s">
        <v>475</v>
      </c>
      <c r="C38" s="7" t="n">
        <f aca="false">COUNTIF($E$5:$E$32,B38)</f>
        <v>2</v>
      </c>
    </row>
    <row r="39" customFormat="false" ht="23.85" hidden="false" customHeight="false" outlineLevel="0" collapsed="false">
      <c r="B39" s="5" t="s">
        <v>514</v>
      </c>
      <c r="C39" s="7" t="n">
        <f aca="false">COUNTIF($E$5:$E$32,B39)</f>
        <v>3</v>
      </c>
    </row>
    <row r="40" customFormat="false" ht="15" hidden="false" customHeight="false" outlineLevel="0" collapsed="false">
      <c r="B40" s="5" t="s">
        <v>495</v>
      </c>
      <c r="C40" s="7" t="n">
        <f aca="false">COUNTIF($E$5:$E$32,B40)</f>
        <v>1</v>
      </c>
    </row>
    <row r="41" customFormat="false" ht="23.85" hidden="false" customHeight="false" outlineLevel="0" collapsed="false">
      <c r="B41" s="5" t="s">
        <v>502</v>
      </c>
      <c r="C41" s="7" t="n">
        <f aca="false">COUNTIF($E$5:$E$32,B41)</f>
        <v>3</v>
      </c>
    </row>
    <row r="42" customFormat="false" ht="15" hidden="false" customHeight="false" outlineLevel="0" collapsed="false">
      <c r="B42" s="5" t="s">
        <v>462</v>
      </c>
      <c r="C42" s="7" t="n">
        <f aca="false">COUNTIF($E$5:$E$32,B42)</f>
        <v>1</v>
      </c>
    </row>
    <row r="43" customFormat="false" ht="23.85" hidden="false" customHeight="false" outlineLevel="0" collapsed="false">
      <c r="B43" s="5" t="s">
        <v>457</v>
      </c>
      <c r="C43" s="7" t="n">
        <f aca="false">COUNTIF($E$5:$E$32,B43)</f>
        <v>12</v>
      </c>
    </row>
    <row r="44" customFormat="false" ht="15" hidden="false" customHeight="false" outlineLevel="0" collapsed="false">
      <c r="B44" s="5" t="s">
        <v>483</v>
      </c>
      <c r="C44" s="7" t="n">
        <f aca="false">COUNTIF($E$5:$E$32,B44)</f>
        <v>1</v>
      </c>
    </row>
  </sheetData>
  <autoFilter ref="A4:E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5" min="4" style="0" width="32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529</v>
      </c>
    </row>
    <row r="2" customFormat="false" ht="15" hidden="false" customHeight="false" outlineLevel="0" collapsed="false">
      <c r="A2" s="2" t="s">
        <v>530</v>
      </c>
    </row>
    <row r="4" customFormat="false" ht="15" hidden="false" customHeight="false" outlineLevel="0" collapsed="false">
      <c r="A4" s="4" t="s">
        <v>454</v>
      </c>
      <c r="B4" s="4" t="s">
        <v>531</v>
      </c>
      <c r="C4" s="4" t="s">
        <v>532</v>
      </c>
      <c r="D4" s="4" t="s">
        <v>533</v>
      </c>
      <c r="E4" s="4" t="s">
        <v>534</v>
      </c>
      <c r="F4" s="4" t="s">
        <v>535</v>
      </c>
      <c r="G4" s="4" t="s">
        <v>536</v>
      </c>
    </row>
    <row r="5" customFormat="false" ht="150" hidden="false" customHeight="true" outlineLevel="0" collapsed="false">
      <c r="A5" s="5" t="s">
        <v>537</v>
      </c>
      <c r="B5" s="6" t="s">
        <v>538</v>
      </c>
      <c r="C5" s="6" t="s">
        <v>539</v>
      </c>
      <c r="D5" s="6" t="s">
        <v>540</v>
      </c>
      <c r="E5" s="6" t="s">
        <v>541</v>
      </c>
      <c r="F5" s="6" t="s">
        <v>542</v>
      </c>
      <c r="G5" s="27" t="s">
        <v>543</v>
      </c>
    </row>
    <row r="6" customFormat="false" ht="150" hidden="false" customHeight="true" outlineLevel="0" collapsed="false">
      <c r="A6" s="5" t="s">
        <v>544</v>
      </c>
      <c r="B6" s="6" t="s">
        <v>545</v>
      </c>
      <c r="C6" s="6" t="s">
        <v>546</v>
      </c>
      <c r="D6" s="6" t="s">
        <v>547</v>
      </c>
      <c r="E6" s="6" t="s">
        <v>548</v>
      </c>
      <c r="F6" s="6" t="s">
        <v>549</v>
      </c>
      <c r="G6" s="27" t="s">
        <v>550</v>
      </c>
    </row>
    <row r="7" customFormat="false" ht="150" hidden="false" customHeight="true" outlineLevel="0" collapsed="false">
      <c r="A7" s="5" t="s">
        <v>551</v>
      </c>
      <c r="B7" s="6" t="s">
        <v>552</v>
      </c>
      <c r="C7" s="6" t="s">
        <v>553</v>
      </c>
      <c r="D7" s="6" t="s">
        <v>554</v>
      </c>
      <c r="E7" s="6" t="s">
        <v>555</v>
      </c>
      <c r="F7" s="6" t="s">
        <v>556</v>
      </c>
      <c r="G7" s="27" t="s">
        <v>557</v>
      </c>
    </row>
    <row r="8" customFormat="false" ht="150" hidden="false" customHeight="true" outlineLevel="0" collapsed="false">
      <c r="A8" s="5" t="s">
        <v>558</v>
      </c>
      <c r="B8" s="6" t="s">
        <v>559</v>
      </c>
      <c r="C8" s="6" t="s">
        <v>560</v>
      </c>
      <c r="D8" s="6" t="s">
        <v>561</v>
      </c>
      <c r="E8" s="6" t="s">
        <v>562</v>
      </c>
      <c r="F8" s="6" t="s">
        <v>563</v>
      </c>
      <c r="G8" s="27" t="s">
        <v>564</v>
      </c>
    </row>
    <row r="9" customFormat="false" ht="150" hidden="false" customHeight="true" outlineLevel="0" collapsed="false">
      <c r="A9" s="5" t="s">
        <v>565</v>
      </c>
      <c r="B9" s="6" t="s">
        <v>566</v>
      </c>
      <c r="C9" s="6" t="s">
        <v>567</v>
      </c>
      <c r="D9" s="6" t="s">
        <v>568</v>
      </c>
      <c r="E9" s="6" t="s">
        <v>569</v>
      </c>
      <c r="F9" s="6" t="s">
        <v>570</v>
      </c>
      <c r="G9" s="27" t="s">
        <v>449</v>
      </c>
    </row>
    <row r="10" customFormat="false" ht="150" hidden="false" customHeight="true" outlineLevel="0" collapsed="false">
      <c r="A10" s="5" t="s">
        <v>571</v>
      </c>
      <c r="B10" s="6" t="s">
        <v>572</v>
      </c>
      <c r="C10" s="6" t="s">
        <v>573</v>
      </c>
      <c r="D10" s="6" t="s">
        <v>574</v>
      </c>
      <c r="E10" s="6" t="s">
        <v>575</v>
      </c>
      <c r="F10" s="6" t="s">
        <v>576</v>
      </c>
      <c r="G10" s="27" t="s">
        <v>439</v>
      </c>
    </row>
    <row r="11" customFormat="false" ht="150" hidden="false" customHeight="true" outlineLevel="0" collapsed="false">
      <c r="A11" s="5" t="s">
        <v>577</v>
      </c>
      <c r="B11" s="6" t="s">
        <v>578</v>
      </c>
      <c r="C11" s="6" t="s">
        <v>579</v>
      </c>
      <c r="D11" s="6" t="s">
        <v>580</v>
      </c>
      <c r="E11" s="6" t="s">
        <v>581</v>
      </c>
      <c r="F11" s="6" t="s">
        <v>582</v>
      </c>
      <c r="G11" s="27" t="s">
        <v>583</v>
      </c>
    </row>
    <row r="12" customFormat="false" ht="150" hidden="false" customHeight="true" outlineLevel="0" collapsed="false">
      <c r="A12" s="5" t="s">
        <v>584</v>
      </c>
      <c r="B12" s="6" t="s">
        <v>585</v>
      </c>
      <c r="C12" s="6" t="s">
        <v>586</v>
      </c>
      <c r="D12" s="6" t="s">
        <v>587</v>
      </c>
      <c r="E12" s="6" t="s">
        <v>588</v>
      </c>
      <c r="F12" s="6" t="s">
        <v>589</v>
      </c>
      <c r="G12" s="27" t="s">
        <v>590</v>
      </c>
    </row>
    <row r="14" customFormat="false" ht="15" hidden="false" customHeight="false" outlineLevel="0" collapsed="false">
      <c r="A14" s="3" t="s">
        <v>591</v>
      </c>
    </row>
    <row r="15" customFormat="false" ht="15" hidden="false" customHeight="false" outlineLevel="0" collapsed="false">
      <c r="A15" s="4" t="s">
        <v>14</v>
      </c>
      <c r="B15" s="4" t="s">
        <v>536</v>
      </c>
      <c r="C15" s="4" t="s">
        <v>592</v>
      </c>
      <c r="D15" s="4" t="s">
        <v>593</v>
      </c>
      <c r="E15" s="4" t="s">
        <v>594</v>
      </c>
    </row>
    <row r="16" customFormat="false" ht="23.85" hidden="false" customHeight="false" outlineLevel="0" collapsed="false">
      <c r="A16" s="27" t="s">
        <v>590</v>
      </c>
      <c r="B16" s="6" t="s">
        <v>595</v>
      </c>
      <c r="C16" s="6" t="s">
        <v>596</v>
      </c>
      <c r="D16" s="29" t="s">
        <v>597</v>
      </c>
      <c r="E16" s="6" t="s">
        <v>598</v>
      </c>
    </row>
    <row r="17" customFormat="false" ht="23.85" hidden="false" customHeight="false" outlineLevel="0" collapsed="false">
      <c r="A17" s="27" t="s">
        <v>439</v>
      </c>
      <c r="B17" s="6" t="s">
        <v>599</v>
      </c>
      <c r="C17" s="6" t="s">
        <v>600</v>
      </c>
      <c r="D17" s="29" t="s">
        <v>601</v>
      </c>
      <c r="E17" s="6" t="s">
        <v>602</v>
      </c>
    </row>
    <row r="18" customFormat="false" ht="35.05" hidden="false" customHeight="false" outlineLevel="0" collapsed="false">
      <c r="A18" s="27" t="s">
        <v>564</v>
      </c>
      <c r="B18" s="6" t="s">
        <v>603</v>
      </c>
      <c r="C18" s="6" t="s">
        <v>604</v>
      </c>
      <c r="D18" s="29" t="s">
        <v>601</v>
      </c>
      <c r="E18" s="6" t="s">
        <v>605</v>
      </c>
    </row>
    <row r="19" customFormat="false" ht="23.85" hidden="false" customHeight="false" outlineLevel="0" collapsed="false">
      <c r="A19" s="27" t="s">
        <v>543</v>
      </c>
      <c r="B19" s="6" t="s">
        <v>606</v>
      </c>
      <c r="C19" s="6" t="s">
        <v>607</v>
      </c>
      <c r="D19" s="29" t="s">
        <v>608</v>
      </c>
      <c r="E19" s="6" t="s">
        <v>609</v>
      </c>
    </row>
    <row r="20" customFormat="false" ht="23.85" hidden="false" customHeight="false" outlineLevel="0" collapsed="false">
      <c r="A20" s="27" t="s">
        <v>610</v>
      </c>
      <c r="B20" s="6" t="s">
        <v>611</v>
      </c>
      <c r="C20" s="6" t="s">
        <v>612</v>
      </c>
      <c r="D20" s="29" t="s">
        <v>613</v>
      </c>
      <c r="E20" s="6" t="s">
        <v>614</v>
      </c>
    </row>
    <row r="21" customFormat="false" ht="35.05" hidden="false" customHeight="false" outlineLevel="0" collapsed="false">
      <c r="A21" s="27" t="s">
        <v>557</v>
      </c>
      <c r="B21" s="6" t="s">
        <v>615</v>
      </c>
      <c r="C21" s="6" t="s">
        <v>616</v>
      </c>
      <c r="D21" s="30" t="s">
        <v>617</v>
      </c>
      <c r="E21" s="6" t="s">
        <v>618</v>
      </c>
    </row>
    <row r="22" customFormat="false" ht="23.85" hidden="false" customHeight="false" outlineLevel="0" collapsed="false">
      <c r="A22" s="27" t="s">
        <v>619</v>
      </c>
      <c r="B22" s="6" t="s">
        <v>620</v>
      </c>
      <c r="C22" s="6" t="s">
        <v>621</v>
      </c>
      <c r="D22" s="30" t="s">
        <v>617</v>
      </c>
      <c r="E22" s="6" t="s">
        <v>622</v>
      </c>
    </row>
    <row r="23" customFormat="false" ht="23.85" hidden="false" customHeight="false" outlineLevel="0" collapsed="false">
      <c r="A23" s="27" t="s">
        <v>583</v>
      </c>
      <c r="B23" s="6" t="s">
        <v>623</v>
      </c>
      <c r="C23" s="6" t="s">
        <v>624</v>
      </c>
      <c r="D23" s="30" t="s">
        <v>617</v>
      </c>
      <c r="E23" s="6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2026-10-23T19:00:15Z</dcterms:created>
  <dc:creator>openpyxl</dc:creator>
  <dc:description/>
  <dc:language>en-US</dc:language>
  <cp:lastModifiedBy/>
  <dcterms:modified xsi:type="dcterms:W3CDTF">2026-10-23T21:00:17Z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