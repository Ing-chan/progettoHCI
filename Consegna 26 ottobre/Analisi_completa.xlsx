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7.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threadedComments/threadedComment1.xml" ContentType="application/vnd.ms-excel.threadedcomments+xml"/>
  <Override PartName="/xl/charts/chart2.xml" ContentType="application/vnd.openxmlformats-officedocument.drawingml.chart+xml"/>
  <Override PartName="/xl/worksheets/sheet6.xml" ContentType="application/vnd.openxmlformats-officedocument.spreadsheetml.worksheet+xml"/>
  <Override PartName="/xl/drawings/drawing1.xml" ContentType="application/vnd.openxmlformats-officedocument.drawing+xml"/>
  <Override PartName="/xl/persons/person.xml" ContentType="application/vnd.ms-excel.person+xml"/>
  <Override PartName="/xl/sharedStrings.xml" ContentType="application/vnd.openxmlformats-officedocument.spreadsheetml.sharedStrings+xml"/>
  <Override PartName="/xl/worksheets/sheet10.xml" ContentType="application/vnd.openxmlformats-officedocument.spreadsheetml.worksheet+xml"/>
  <Override PartName="/xl/workbook.xml" ContentType="application/vnd.openxmlformats-officedocument.spreadsheetml.sheet.main+xml"/>
  <Override PartName="/xl/worksheets/sheet13.xml" ContentType="application/vnd.openxmlformats-officedocument.spreadsheetml.worksheet+xml"/>
  <Override PartName="/xl/worksheets/sheet9.xml" ContentType="application/vnd.openxmlformats-officedocument.spreadsheetml.worksheet+xml"/>
  <Override PartName="/docProps/app.xml" ContentType="application/vnd.openxmlformats-officedocument.extended-properties+xml"/>
  <Override PartName="/xl/worksheets/sheet12.xml" ContentType="application/vnd.openxmlformats-officedocument.spreadsheetml.worksheet+xml"/>
  <Override PartName="/xl/comments1.xml" ContentType="application/vnd.openxmlformats-officedocument.spreadsheetml.comments+xml"/>
  <Override PartName="/xl/worksheets/sheet14.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styles.xml" ContentType="application/vnd.openxmlformats-officedocument.spreadsheetml.styles+xml"/>
  <Override PartName="/xl/worksheets/sheet8.xml" ContentType="application/vnd.openxmlformats-officedocument.spreadsheetml.worksheet+xml"/>
  <Override PartName="/xl/charts/chart1.xml" ContentType="application/vnd.openxmlformats-officedocument.drawingml.chart+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2" showHorizontalScroll="1" showVerticalScroll="1"/>
  </bookViews>
  <sheets>
    <sheet name="Pattern" sheetId="1" state="visible" r:id="rId2"/>
    <sheet name="Fatti" sheetId="2" state="visible" r:id="rId3"/>
    <sheet name="Incroci" sheetId="3" state="visible" r:id="rId4"/>
    <sheet name="Leggimi" sheetId="4" state="visible" r:id="rId5"/>
    <sheet name="Sintesi" sheetId="5" state="visible" r:id="rId6"/>
    <sheet name="F0 Autovalutazione" sheetId="6" state="visible" r:id="rId7"/>
    <sheet name="F1 Foto (dati)" sheetId="7" state="visible" r:id="rId8"/>
    <sheet name="F1 Foto (matrice)" sheetId="8" state="visible" r:id="rId9"/>
    <sheet name="F1bis Coppie" sheetId="9" state="visible" r:id="rId10"/>
    <sheet name="Indizi usati" sheetId="10" state="visible" r:id="rId11"/>
    <sheet name="F2 Chat" sheetId="11" state="visible" r:id="rId12"/>
    <sheet name="Tavola rotonda" sheetId="12" state="visible" r:id="rId13"/>
    <sheet name="Appunti osservazione" sheetId="13" state="visible" r:id="rId14"/>
    <sheet name="Analisi tematica" sheetId="14" state="visible" r:id="rId15"/>
  </sheets>
  <definedNames>
    <definedName name="_xlnm._FilterDatabase" localSheetId="6" hidden="1">'F1 Foto (dati)'!$A$4:$J$84</definedName>
    <definedName name="_xlnm._FilterDatabase" localSheetId="12" hidden="1">'Appunti osservazione'!$A$4:$E$32</definedName>
    <definedName name="_xlnm._FilterDatabase" localSheetId="0" hidden="1">Fatti!$A$4:$H$64</definedName>
    <definedName name="_xlnm._FilterDatabase" localSheetId="1" hidden="1">Fatti!$A$4:$H$64</definedName>
    <definedName name="_xlnm._FilterDatabase" localSheetId="2" hidden="1">Incroci!$A$4:$H$64</definedName>
    <definedName name="_xlnm._FilterDatabase" localSheetId="1" hidden="1">Fatti!$A$4:$H$64</definedName>
    <definedName name="_xlnm._FilterDatabase" localSheetId="6" hidden="1">'F1 Foto (dati)'!$A$4:$J$84</definedName>
    <definedName name="_xlnm._FilterDatabase" localSheetId="12" hidden="1">'Appunti osservazione'!$A$4:$E$32</definedName>
  </definedNames>
  <calcPr refMode="A1" iterate="0" iterateCount="100" iterateDelta="0.000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tc={32149E9D-DDD6-4AF1-8181-173ECF86128B}</author>
  </authors>
  <commentList>
    <comment ref="B7" authorId="0" xr:uid="{32149E9D-DDD6-4AF1-8181-173ECF86128B}">
      <text>
        <r>
          <rPr>
            <b/>
            <sz val="9"/>
            <rFont val="Tahoma"/>
          </rPr>
          <t xml:space="preserve">Unknown Author:</t>
        </r>
        <r>
          <rPr>
            <sz val="9"/>
            <rFont val="Tahoma"/>
          </rPr>
          <t xml:space="preserve">
Tontony a Chat 3 segna sia Si sia Non sappiamo
</t>
        </r>
      </text>
    </comment>
  </commentList>
</comments>
</file>

<file path=xl/sharedStrings.xml><?xml version="1.0" encoding="utf-8"?>
<sst xmlns="http://schemas.openxmlformats.org/spreadsheetml/2006/main" count="938" uniqueCount="938">
  <si>
    <t>Cat.</t>
  </si>
  <si>
    <t>Categoria</t>
  </si>
  <si>
    <t xml:space="preserve">Resoconto (cosa dicono i dati)</t>
  </si>
  <si>
    <t xml:space="preserve">Fatti a supporto</t>
  </si>
  <si>
    <t xml:space="preserve">Solidità dell'evidenza</t>
  </si>
  <si>
    <t xml:space="preserve">Limiti: cosa NON possiamo dedurre</t>
  </si>
  <si>
    <t xml:space="preserve">Spunti per il design (ipotesi da verificare)</t>
  </si>
  <si>
    <t xml:space="preserve">N. fatti</t>
  </si>
  <si>
    <t>C1</t>
  </si>
  <si>
    <t xml:space="preserve">Abitudini online e contatti con sconosciuti</t>
  </si>
  <si>
    <t xml:space="preserve">Scrivono soprattutto su WhatsApp, Instagram e TikTok. La maggior parte ha il profilo privato, spesso per scelta propria. I messaggi da sconosciuti sono frequenti, ma le studentesse intervistate dicono di scrivere quasi solo con persone che conoscono.</t>
  </si>
  <si>
    <t xml:space="preserve">Q02, Q03, Q04, Q05, S01–S04, S06, S07</t>
  </si>
  <si>
    <t xml:space="preserve">Alta (questionario + intervista)</t>
  </si>
  <si>
    <t xml:space="preserve">Questionario quasi tutto maschile; per le chat dei videogiochi e Discord non ci sono dati qualitativi.</t>
  </si>
  <si>
    <t xml:space="preserve">Quali canali coprire per primi (WhatsApp, Instagram, TikTok)? Le chat dei videogiochi meritano un approfondimento?</t>
  </si>
  <si>
    <t>C2</t>
  </si>
  <si>
    <t xml:space="preserve">Come valutano se un profilo è affidabile</t>
  </si>
  <si>
    <t xml:space="preserve">Il criterio principale è sociale: amici in comune, chi lo segue, "lo conoscono le mie amiche". Poi vengono segnali superficiali (numero di follower, foto profilo, aspetto) usati in modo incoerente: per alcuni pochi follower sono un segnale di falso, per altri anche 600 lo sono. Qualcuno usa strategie più evolute (età dell'account, ricerca dell'immagine, prefisso estero).</t>
  </si>
  <si>
    <t xml:space="preserve">Q06, Q07, Q22, S05, S08–S14</t>
  </si>
  <si>
    <t xml:space="preserve">Alta (questionario + intervista + esercizio)</t>
  </si>
  <si>
    <t xml:space="preserve">La codifica della domanda aperta è per parole chiave: va controllata a mano (foglio "Q aperta codificata"). Un solo esercizio con due profili.</t>
  </si>
  <si>
    <t xml:space="preserve">Ipotesi: insegnare che gli "amici in comune" e i follower non bastano come garanzia; allenare a segnali più affidabili (età dell'account, ricerca inversa dell'immagine, comportamento in chat).</t>
  </si>
  <si>
    <t>C3</t>
  </si>
  <si>
    <t xml:space="preserve">Fiducia nelle proprie capacità vs comportamenti reali</t>
  </si>
  <si>
    <t xml:space="preserve">Circa 3 su 4 si sentono capaci di accorgersi di un profilo falso e di una foto fatta con l'IA. Ma quando hanno un dubbio su un contenuto, la metà non fa niente e l'azione più comune è guardare i commenti; chiedere a qualcuno è rarissimo. La passività riguarda tutti: chi ha poca fiducia è anzi ancora più passivo (14 su 21), quindi non si può dire che sia la sicurezza a rendere passivi. Due segnali di sovrastima: 14 dei 21 che non sanno cos'è un deepfake si danno 4-5 nel riconoscere foto IA, e più della metà di chi si sente capace di riconoscerle non saprebbe bene come agire se toccasse a loro.</t>
  </si>
  <si>
    <t xml:space="preserve">Q08–Q14, S15</t>
  </si>
  <si>
    <t xml:space="preserve">Media: sono autovalutazioni, nell'intervista c'è un solo esercizio</t>
  </si>
  <si>
    <t xml:space="preserve">Un'autovalutazione alta non è una competenza misurata. Dai dati non si può dire che "non sanno riconoscere" i falsi: si può dire che la fiducia dichiarata non corrisponde ad azioni di verifica.</t>
  </si>
  <si>
    <t xml:space="preserve">Da verificare con un test pratico (es. riconoscere N foto vere/IA) per misurare la competenza reale.</t>
  </si>
  <si>
    <t>C4</t>
  </si>
  <si>
    <t xml:space="preserve">Deepfake e contenuti falsi tra coetanei</t>
  </si>
  <si>
    <t xml:space="preserve">I contenuti modificati con l'IA girano tra coetanei (quasi 4 su 5 li hanno visti). Pochissimi li considerano una cosa seria: in genere "dipende" da quanto è pesante o sono uno scherzo. La gravità si giudica dalla reazione visibile della vittima ("se ride è uno scherzo"). Una studentessa racconta una chat creata contro di lei con le sue foto; la sua paura principale era che venissero modificate con l'IA.</t>
  </si>
  <si>
    <t xml:space="preserve">Q15, Q16, S16, S17, S19, S30, S33</t>
  </si>
  <si>
    <t xml:space="preserve">Il questionario chiede cosa pensano "gli altri ragazzi", non il rispondente. Il caso di Aurora è una singola esperienza.</t>
  </si>
  <si>
    <t xml:space="preserve">Ipotesi: lavorare sulla percezione del danno ("ridere non vuol dire stare bene") e sul ruolo di chi assiste.</t>
  </si>
  <si>
    <t>C5</t>
  </si>
  <si>
    <t xml:space="preserve">Riconoscere l'adescamento e le richieste di foto</t>
  </si>
  <si>
    <t xml:space="preserve">Davanti alla stessa chat di adescamento, le ragazze non concordano su quando scatta il campanello d'allarme: per alcune la confidenza eccessiva troppo presto, per altre la segretezza ("non dirlo ai tuoi") o la richiesta di una foto. Il rifiuto di mandare foto sessuali è netto, ma su una foto "normale" la soglia dipende dal tempo e dal sentirsi in confidenza. Le richieste di foto raccontate venivano da persone conosciute, non da sconosciuti.</t>
  </si>
  <si>
    <t xml:space="preserve">S20–S24, S08</t>
  </si>
  <si>
    <t xml:space="preserve">Bassa-media: 5 ragazze di 13-14 anni, in gruppo</t>
  </si>
  <si>
    <t xml:space="preserve">Non generalizzabile al target, né ai ragazzi maschi. In gruppo le risposte si influenzano a vicenda.</t>
  </si>
  <si>
    <t xml:space="preserve">Ipotesi: un training che mostri l'escalation tipica (lusinga → segretezza → cambio di piattaforma → richiesta). Approfondire nelle prossime interviste i casi con persone "semi-conosciute".</t>
  </si>
  <si>
    <t>C6</t>
  </si>
  <si>
    <t xml:space="preserve">Chiedere aiuto: a chi, e perché no</t>
  </si>
  <si>
    <t xml:space="preserve">Il primo confidente è un amico o un'amica; quasi 1 su 5 non ne parlerebbe con nessuno (nessuna delle 10 ragazze del questionario). Genitori e docenti sono scelti raramente come primo riferimento. Le ragazze esprimono riluttanza a coinvolgere i genitori (preferiscono "piuttosto i carabinieri") e temono che il prof veda la chat. Il docente attribuisce questa riluttanza a vergogna e paura di punizioni. Pochi sanno come agire se circolasse un'immagine falsa di sé. Per informarsi userebbero soprattutto Google, adulti, amici e IA; per confidarsi vogliono "una persona vera".</t>
  </si>
  <si>
    <t xml:space="preserve">Q17–Q20, S18, S25–S28, S31, D06–D08, D14–D17</t>
  </si>
  <si>
    <t xml:space="preserve">Alta (tre fonti concordano)</t>
  </si>
  <si>
    <t xml:space="preserve">La risposta corale "prima con i genitori" (S27) è arrivata dopo una domanda diretta dell'intervistatore: va pesata meno. Le ragioni del docente (D15) sono sue opinioni.</t>
  </si>
  <si>
    <t xml:space="preserve">Ipotesi: gli amici sono il canale principale, quindi conviene preparare anche chi riceve la confidenza ("come aiutare un'amica"). Percorsi di aiuto chiari e graduali, che non obblighino a coinvolgere subito i genitori.</t>
  </si>
  <si>
    <t>C7</t>
  </si>
  <si>
    <t xml:space="preserve">Prevenzione e ruolo della scuola</t>
  </si>
  <si>
    <t xml:space="preserve">Quasi nessuno ricorda attività di prevenzione; chi le cita parla di conferenze sul cyberbullismo o di educazione civica. A scuola la regolamentazione sull'IA è appena iniziata, mancano spazi di confronto tra studenti e il telefono è vietato. Nell'unico caso concreto raccontato, la scuola non è intervenuta in modo percepito come adeguato. Alcuni rispondenti chiedono più informazione.</t>
  </si>
  <si>
    <t xml:space="preserve">Q21, Q23, D01–D05, D07, D10, D12, D13, S32</t>
  </si>
  <si>
    <t>Media</t>
  </si>
  <si>
    <t xml:space="preserve">Un solo docente e una sola scuola per le informazioni sull'istituto. "Non ricordo attività" non significa che non ce ne siano state.</t>
  </si>
  <si>
    <t xml:space="preserve">Con il divieto del telefono a scuola, lo strumento va pensato per l'uso fuori dall'orario scolastico (o con dispositivi della scuola).</t>
  </si>
  <si>
    <t>C8</t>
  </si>
  <si>
    <t xml:space="preserve">Idea di progetto: forum anonimo e supporto</t>
  </si>
  <si>
    <t xml:space="preserve">Il forum riceve un interesse condizionato: sì se è anonimo (le ragazze citano NGL) e se si è sicuri che gli altri siano chi dicono. Un'intervistata dubita che molti racconterebbero la propria esperienza. Il docente lo ritiene utile per sentirsi meno soli, ma chiede supervisione discreta, protezione dagli screenshot e un accesso facile all'aiuto (esperti, numeri utili). Nel questionario solo il 4% cercherebbe informazioni in un forum.</t>
  </si>
  <si>
    <t xml:space="preserve">S29, S28, D09, D19–D23, Q20</t>
  </si>
  <si>
    <t>Media-bassa</t>
  </si>
  <si>
    <t xml:space="preserve">L'idea del forum è stata proposta dagli intervistatori: c'è il rischio di risposte compiacenti. Il dato del questionario (4%) riguarda la ricerca di informazioni, non la condivisione.</t>
  </si>
  <si>
    <t xml:space="preserve">Tensione da risolvere: anonimato vs autenticità vs supervisione. Da verificare se i ragazzi leggerebbero esperienze altrui anche senza scriverne.</t>
  </si>
  <si>
    <t>C9</t>
  </si>
  <si>
    <t xml:space="preserve">Come comunicare con i ragazzi</t>
  </si>
  <si>
    <t xml:space="preserve">Il docente consiglia un tono alla pari, un linguaggio semplice e diretto e nessuna imposizione: ciò che sembra imposto viene rifiutato. Racconta che una domanda amichevole è bastata a far aprire uno studente.</t>
  </si>
  <si>
    <t xml:space="preserve">D11, D18</t>
  </si>
  <si>
    <t xml:space="preserve">Bassa: una sola fonte</t>
  </si>
  <si>
    <t xml:space="preserve">È l'esperienza di un singolo docente.</t>
  </si>
  <si>
    <t xml:space="preserve">Da verificare con i ragazzi (es. confronto tra testi con toni diversi).</t>
  </si>
  <si>
    <t xml:space="preserve">Tabella dei fatti – una riga per ogni elemento rilevato (dati, non interpretazioni)</t>
  </si>
  <si>
    <t xml:space="preserve">S = intervista di gruppo alle studentesse (07/10) · D = intervista al docente (09/10) · Q = questionario online. Nomi delle studentesse di fantasia. La colonna Categoria rimanda al foglio "Pattern".</t>
  </si>
  <si>
    <t>ID</t>
  </si>
  <si>
    <t>Fonte</t>
  </si>
  <si>
    <t>Chi</t>
  </si>
  <si>
    <t xml:space="preserve">Tema / domanda</t>
  </si>
  <si>
    <t xml:space="preserve">Fatto osservato</t>
  </si>
  <si>
    <t xml:space="preserve">Riferimento audio</t>
  </si>
  <si>
    <t xml:space="preserve">Nome categoria</t>
  </si>
  <si>
    <t>NOTE</t>
  </si>
  <si>
    <t>S01</t>
  </si>
  <si>
    <t xml:space="preserve">Intervista studentesse 07/10</t>
  </si>
  <si>
    <t xml:space="preserve">Giulia, Sofia, Martina</t>
  </si>
  <si>
    <t xml:space="preserve">Abitudini online</t>
  </si>
  <si>
    <t xml:space="preserve">Scrivono soprattutto (Giulia) o solo (Sofia, Martina) con persone che conoscono.</t>
  </si>
  <si>
    <t>S02</t>
  </si>
  <si>
    <t>Aurora</t>
  </si>
  <si>
    <t xml:space="preserve">Le è capitato di interagire anche con persone che non conosce.</t>
  </si>
  <si>
    <t>S03</t>
  </si>
  <si>
    <t xml:space="preserve">Tutte (5)</t>
  </si>
  <si>
    <t xml:space="preserve">Profili social</t>
  </si>
  <si>
    <t xml:space="preserve">Tutte hanno il profilo privato.</t>
  </si>
  <si>
    <t>S04</t>
  </si>
  <si>
    <t xml:space="preserve">Giulia l'ha reso privato su consiglio della madre; Aurora, Martina e Chiara da sole "per precauzione"; Sofia "perché non voglio che altre persone lo vedano".</t>
  </si>
  <si>
    <t>S05</t>
  </si>
  <si>
    <t>Giulia</t>
  </si>
  <si>
    <t xml:space="preserve">Contatti con sconosciuti</t>
  </si>
  <si>
    <t xml:space="preserve">Ha un'amica conosciuta online, ma non ha avuto diffidenza "perché già la conoscevo tramite un po' di amiche". Nessun contatto con persone del tutto sconosciute.</t>
  </si>
  <si>
    <t>S06</t>
  </si>
  <si>
    <t xml:space="preserve">Sofia, Martina</t>
  </si>
  <si>
    <t xml:space="preserve">Una volta contattate da uno sconosciuto: bloccato subito ("non mi fidavo" / "non lo conosceva nessuno").</t>
  </si>
  <si>
    <t>S07</t>
  </si>
  <si>
    <t>Chiara</t>
  </si>
  <si>
    <t xml:space="preserve">"Io mai nessuno online."</t>
  </si>
  <si>
    <t>S08</t>
  </si>
  <si>
    <t xml:space="preserve">Ha accettato un ragazzo sconosciuto perché le amiche lo seguivano; "sembrava più grande"; dovevano uscire, poi ha perso interesse perché non sapeva bene "com'era fatto".</t>
  </si>
  <si>
    <t xml:space="preserve">Estratto 1 (02:50)</t>
  </si>
  <si>
    <t>S09</t>
  </si>
  <si>
    <t xml:space="preserve">Segnali di affidabilità</t>
  </si>
  <si>
    <t xml:space="preserve">Primo segnale di dubbio: se è "aggressivo, violento". Con amici in comune "mi fa pensare che è a posto"; senza, diventa più diffidente.</t>
  </si>
  <si>
    <t>S10</t>
  </si>
  <si>
    <t>Sofia</t>
  </si>
  <si>
    <t xml:space="preserve">Si insospettisce "se inizia a fare domande un po' scomode".</t>
  </si>
  <si>
    <t>S11</t>
  </si>
  <si>
    <t xml:space="preserve">Guarda la foto profilo; evita chi pubblica storie con pistole (pur conoscendo "brave persone" che lo fanno); evita chi chiede dove abita.</t>
  </si>
  <si>
    <t>S12</t>
  </si>
  <si>
    <t xml:space="preserve">Su WhatsApp guarda la provenienza del numero e blocca i numeri esteri; su Instagram prima segue lei lo sconosciuto e poi, se va bene, lo accetta.</t>
  </si>
  <si>
    <t>S13</t>
  </si>
  <si>
    <t xml:space="preserve">Sofia, Aurora, Giulia</t>
  </si>
  <si>
    <t xml:space="preserve">Esercizio 1 – due profili</t>
  </si>
  <si>
    <t xml:space="preserve">Giudicano i profili da aspetto e "normalità" delle foto ("sembra fake tantissimo", "questo è più bello", "sembra più una persona vera"); notano il tag dell'università. Sofia: "l'apparenza può ingannare".</t>
  </si>
  <si>
    <t>S14</t>
  </si>
  <si>
    <t xml:space="preserve">Aurora, Giulia, Chiara</t>
  </si>
  <si>
    <t xml:space="preserve">Usano i follower come indizio ma in modo incoerente: 436 follower "non so"; per Aurora 600 follower "già mi sembra una cosa finta". Confrontano con il proprio numero di follower. </t>
  </si>
  <si>
    <t xml:space="preserve">questo può essere un esempio di indicatore errato/incoerente da usare.</t>
  </si>
  <si>
    <t>S15</t>
  </si>
  <si>
    <t xml:space="preserve">Giulia, Aurora</t>
  </si>
  <si>
    <t xml:space="preserve">Esercizio 2 – foto IA</t>
  </si>
  <si>
    <t xml:space="preserve">Il gruppo individua correttamente la foto generata con l'IA (dopo averla ingrandita). Aurora motiva il giudizio sull'altro profilo con la "faccia" della persona.</t>
  </si>
  <si>
    <t>S16</t>
  </si>
  <si>
    <t xml:space="preserve">Sofia, Giulia</t>
  </si>
  <si>
    <t xml:space="preserve">Deepfake a scuola</t>
  </si>
  <si>
    <t xml:space="preserve">Criterio per distinguere scherzo e cosa seria: "quando c'è uno scherzo si ride e basta", "se si fanno battute", se la vittima ride. Alla domanda sul disagio nascosto: "si capisce, dai".</t>
  </si>
  <si>
    <t xml:space="preserve">Estratto 2 (08:44)</t>
  </si>
  <si>
    <t xml:space="preserve">altro possibile fallacia argomentativa. bias da eccesso di fiducia?(overconfidence bias)</t>
  </si>
  <si>
    <t>S17</t>
  </si>
  <si>
    <t xml:space="preserve">Nei casi seri: parlarne "in modo discreto, senza prendere le parti e non esprirere opinioni senza conoscere a fondo la situazione. Cita un'esperienza vissuta quest'anno. </t>
  </si>
  <si>
    <t xml:space="preserve">Estratto 2</t>
  </si>
  <si>
    <t>S18</t>
  </si>
  <si>
    <t xml:space="preserve">Sofia, Chiara, Martina, Aurora</t>
  </si>
  <si>
    <t xml:space="preserve">Se la vittima è in difficoltà: "vado da lei e ci parlo io", "offriamo la nostra disponibilità", "parlerei con il prof al posto suo", "ci parlo io con chi di dovere". </t>
  </si>
  <si>
    <t xml:space="preserve">mette in luce la utilità del nostro spazio forum</t>
  </si>
  <si>
    <t>S19</t>
  </si>
  <si>
    <t xml:space="preserve">Sofia, Aurora</t>
  </si>
  <si>
    <t xml:space="preserve">Coinvolgere un adulto "dipende da quanto è grave": una presa in giro è diverso da cyberbullismo.</t>
  </si>
  <si>
    <t xml:space="preserve">anche qua si evidenzia il rischio di sottostimare il problema</t>
  </si>
  <si>
    <t>S20</t>
  </si>
  <si>
    <t>Tutte</t>
  </si>
  <si>
    <t xml:space="preserve">Esercizio 3 – chat di adescamento</t>
  </si>
  <si>
    <t xml:space="preserve">Non concordano sul primo messaggio sospetto: Sofia indica "sei molto più matura" / "nessuno mi capisce come te" (troppo presto); Aurora "mandami una foto" e poi "non dirlo ai tuoi"; Martina "non dirlo ai tuoi"; Aurora cambia idea più volte ("dal 5... dal 6... almeno dal 4").</t>
  </si>
  <si>
    <t xml:space="preserve">si evidenzia l'importanza di includere nel training sul definire i boundaries e il rispetto  per gli altri e per se stessi.</t>
  </si>
  <si>
    <t>S21</t>
  </si>
  <si>
    <t xml:space="preserve">Aurora, Sofia</t>
  </si>
  <si>
    <t xml:space="preserve">Aurora: "a me va bene se mi scrive strano", legge le lusinghe come "carenza affettiva" dell'altro. Sofia: "dopo due giorni è esagerato".</t>
  </si>
  <si>
    <t xml:space="preserve">Estratto 3 (13:13)</t>
  </si>
  <si>
    <t>S22</t>
  </si>
  <si>
    <t xml:space="preserve">Aurora, Giulia</t>
  </si>
  <si>
    <t xml:space="preserve">Richiesta di foto</t>
  </si>
  <si>
    <t xml:space="preserve">A entrambe è stata chiesta una foto da qualcuno che conoscevano (per Giulia un ragazzo della stessa scuola). Aurora non l'ha mandata e l'ha bloccato.</t>
  </si>
  <si>
    <t xml:space="preserve">Estratto 4 (14:02)</t>
  </si>
  <si>
    <t>S23</t>
  </si>
  <si>
    <t xml:space="preserve">Dopo un mese di conoscenza Aurora "magari gliela mando", "dipende che foto", anche senza essersi mai visti "se so chi è". Sofia: "solo online no", bisogna vedersi prima. Disaccordo aperto.</t>
  </si>
  <si>
    <t xml:space="preserve">Estratto 4</t>
  </si>
  <si>
    <t xml:space="preserve">aurora potenziale utente estremo base molto inesperto</t>
  </si>
  <si>
    <t>S24</t>
  </si>
  <si>
    <t xml:space="preserve">Una foto a sfondo sessuale non la manderebbero a nessuno, nemmeno a persone conosciute.</t>
  </si>
  <si>
    <t>S25</t>
  </si>
  <si>
    <t xml:space="preserve">Giulia, Martina, Sofia, Chiara</t>
  </si>
  <si>
    <t>Minacce</t>
  </si>
  <si>
    <t xml:space="preserve">Amico minacciato di diffusione di una foto: Giulia e Martina "bloccarlo e segnalarlo"; Sofia "andrei dai carabinieri"; Chiara "dal prof"; Giulia obietta "ma poi il prof vede la chat".</t>
  </si>
  <si>
    <t xml:space="preserve">Estratto 5 (16:43)</t>
  </si>
  <si>
    <t>S26</t>
  </si>
  <si>
    <t xml:space="preserve">"Io non voglio dirlo a mia mamma, quindi piuttosto vado dai carabinieri."</t>
  </si>
  <si>
    <t xml:space="preserve">Estratto 5</t>
  </si>
  <si>
    <t>S27</t>
  </si>
  <si>
    <t xml:space="preserve">Alla domanda diretta "non ne parlereste prima con i genitori?" rispondono in coro: "prima con i genitori e poi andiamo insieme dai carabinieri".</t>
  </si>
  <si>
    <t>S28</t>
  </si>
  <si>
    <t xml:space="preserve">Tutte, Aurora</t>
  </si>
  <si>
    <t xml:space="preserve">Se dovessero decidere da sole: "a un'amica". Aurora accenna all'IA, ma le altre su IA o forum: "no, no", "vado subito da una persona vera, per confidarmi".</t>
  </si>
  <si>
    <t xml:space="preserve">ebidenziato un problema: bisogno di parlare con una persona vera --&gt; il forum serve a questo</t>
  </si>
  <si>
    <t>S29</t>
  </si>
  <si>
    <t xml:space="preserve">Sofia, Giulia, tutte</t>
  </si>
  <si>
    <t xml:space="preserve">Forum anonimo</t>
  </si>
  <si>
    <t xml:space="preserve">Sofia: utile "se sei sicura che sono le persone che dicono di essere"; Giulia: "non so quanta gente riuscirebbe a dire quello che è successo". Saputo che è anonimo: tutte "ah, sì"; Giulia: "come NGL".</t>
  </si>
  <si>
    <t xml:space="preserve">Estratto 6 (18:37)</t>
  </si>
  <si>
    <t xml:space="preserve">giulia evidenzia il blocco a parlare di cose difficili. l'anonimità sembra dover essere un requisito del forum.</t>
  </si>
  <si>
    <t>S30</t>
  </si>
  <si>
    <t xml:space="preserve">Esperienza personale</t>
  </si>
  <si>
    <t xml:space="preserve">Alcune compagne hanno creato una chat di gruppo contro di lei con insulti e sue foto (prese da Instagram o mandate alle amiche). L'ha scoperto tramite un amico.</t>
  </si>
  <si>
    <t xml:space="preserve">aurora si conferma utente estremo</t>
  </si>
  <si>
    <t>S31</t>
  </si>
  <si>
    <t xml:space="preserve">Non voleva dirlo ai genitori; l'ha detto solo alle amiche, che l'hanno convinta: l'hanno detto insieme ai genitori.</t>
  </si>
  <si>
    <t xml:space="preserve">sottolinea il bisogno di una cerchia di supporto</t>
  </si>
  <si>
    <t>S32</t>
  </si>
  <si>
    <t xml:space="preserve">Aurora, Giulia, Martina</t>
  </si>
  <si>
    <t xml:space="preserve">I prof si sono allarmati; i genitori sono andati in presidenza ma "il preside non ha voluto fare nulla". Giulia: "alla fine non hanno fatto abbastanza".</t>
  </si>
  <si>
    <t xml:space="preserve">non sempre le istituzionisono in grado di rispondere: a volte si minimizza il problema o le sue conseguenze sulla vittima</t>
  </si>
  <si>
    <t>S33</t>
  </si>
  <si>
    <t xml:space="preserve">La sua paura principale era che le foto venissero modificate con l'IA ("si può fare qualunque cosa, anche se non è vera"). Non è successo.</t>
  </si>
  <si>
    <t>D01</t>
  </si>
  <si>
    <t xml:space="preserve">Intervista docente 09/10</t>
  </si>
  <si>
    <t>Docente</t>
  </si>
  <si>
    <t xml:space="preserve">Scuola e IA</t>
  </si>
  <si>
    <t xml:space="preserve">La nuova dirigente ha emanato un atto di indirizzo per regolamentare l'uso dell'IA nel PTOF; non è ancora stato attivato nulla; i docenti non sono obbligati a usarla.</t>
  </si>
  <si>
    <t xml:space="preserve">si  sottoliea la lentezza di ripsposta da parte delle istituzioni</t>
  </si>
  <si>
    <t>D02</t>
  </si>
  <si>
    <t xml:space="preserve">Non ha notato cambiamenti nei propri insegnamenti(matematica e fisica) né nelle relazioni tra studenti; non ha mai sentito studenti parlare di IA.</t>
  </si>
  <si>
    <t>D03</t>
  </si>
  <si>
    <t xml:space="preserve">L'anno scorso in una classe si è tenuto un corso sull'IA; alcuni studenti si sono mostrati "parecchio ferrati".</t>
  </si>
  <si>
    <t>D04</t>
  </si>
  <si>
    <t xml:space="preserve">Ritiene utile uno strumento educativo IA, "non solo per i ragazzi: anche per gli adulti, per tutti".</t>
  </si>
  <si>
    <t xml:space="preserve">anche gli adulti potrebbero non essere in gr&lt;o d idare supporto ai propri figli.</t>
  </si>
  <si>
    <t>D05</t>
  </si>
  <si>
    <t xml:space="preserve">Contenuto base da insegnare: l'IA può sbagliare, servono competenze per verificare quello che produce.</t>
  </si>
  <si>
    <t xml:space="preserve">Estratto 1 (P1 03:45)</t>
  </si>
  <si>
    <t>D06</t>
  </si>
  <si>
    <t xml:space="preserve">Casi a scuola</t>
  </si>
  <si>
    <t xml:space="preserve">Ha saputo indirettamente di una studentessa (non sua) che usava l'IA come aiuto psicologico.</t>
  </si>
  <si>
    <t xml:space="preserve">Estratto 2 (P1 04:38)</t>
  </si>
  <si>
    <t>D07</t>
  </si>
  <si>
    <t xml:space="preserve">Procedura: si informa il coordinatore, che informa la famiglia o parla con lo studente e cerca un aiuto specifico; il docente "prende atto" e passa "la palla a persone più competenti".</t>
  </si>
  <si>
    <t xml:space="preserve">nelle istituzioni c'è rischio di scaricabarile perché non sono sempre in grado di gestire la situazione (sperando di arrivare a qualcuno in grado), e la procedura non consente di fornire il supporto necessario. </t>
  </si>
  <si>
    <t>D08</t>
  </si>
  <si>
    <t xml:space="preserve">Parla direttamente con gli studenti in difficoltà, ma bisogna capire quando fermarsi e rimandare gli studenti a figure professionali.</t>
  </si>
  <si>
    <t xml:space="preserve">il sopporto non necessar</t>
  </si>
  <si>
    <t>D09</t>
  </si>
  <si>
    <t>Forum</t>
  </si>
  <si>
    <t xml:space="preserve">Un forum di condivisione sarebbe "utilissimo", "un momento di confronto".</t>
  </si>
  <si>
    <t xml:space="preserve">Estratto 3 (P1 06:32)</t>
  </si>
  <si>
    <t>D10</t>
  </si>
  <si>
    <t xml:space="preserve">Spazi a scuola</t>
  </si>
  <si>
    <t xml:space="preserve">Le assemblee d'istituto si usano quasi solo per le elezioni; c'è la biblioteca; non esistono spazi specifici per parlare di questi temi.</t>
  </si>
  <si>
    <t xml:space="preserve">evidenzia il bisogno di uno spazio, che potrebbe fornire il nostro progetto</t>
  </si>
  <si>
    <t>D11</t>
  </si>
  <si>
    <t xml:space="preserve">Rapporto con gli studenti</t>
  </si>
  <si>
    <t xml:space="preserve">Con gli studenti bisogna parlare "alla pari", mai "su un piedistallo"; linguaggio "semplice e diretto"; se una cosa sembra imposta "la rigettano immediatamente".</t>
  </si>
  <si>
    <t xml:space="preserve">Estratto 4 (P1 09:46)</t>
  </si>
  <si>
    <t xml:space="preserve">aiuto peer to peer e non top down. no imposizioni/fare didattico e istituzionale. la nostra soluzione deve uno scambio tra eguali.</t>
  </si>
  <si>
    <t>D12</t>
  </si>
  <si>
    <t xml:space="preserve">Il telefono a scuola è vietato del tutto (circolare ministeriale), anche per uso didattico.</t>
  </si>
  <si>
    <t>D13</t>
  </si>
  <si>
    <t xml:space="preserve">Genitori e adulti</t>
  </si>
  <si>
    <t xml:space="preserve">anche gli adulti non sono preparati. Secondo lui si parla poco di contenuti ai-positive nei media tradizionali, e troppo con toni catastrofici. Non si parla di altri rischi più comuni.</t>
  </si>
  <si>
    <t xml:space="preserve">la nostra soluziione è utile perchè nemmeno gli adulti sanno come affrontare il problema e i ragazzi non sanno a chi chiedere aiuto su come inoformarsi.</t>
  </si>
  <si>
    <t>D14</t>
  </si>
  <si>
    <t>Deepfake</t>
  </si>
  <si>
    <t xml:space="preserve">Davanti a un deepfake di una studentessa: chiederebbe se i genitori lo sanno, li convocherebbe e indicherebbe la polizia postale.</t>
  </si>
  <si>
    <t xml:space="preserve">Estratto 5 (P1 17:11)</t>
  </si>
  <si>
    <t>D15</t>
  </si>
  <si>
    <t xml:space="preserve">Secondo lui le ragazze non ne parlano coi genitori per il tabù sul sesso, la vergogna e la paura di rimproveri o punizioni; il dialogo in famiglia "si è perso". (Opinione, non osservazione diretta.)</t>
  </si>
  <si>
    <t xml:space="preserve">Estratto 6 (P1 18:17)</t>
  </si>
  <si>
    <t>D16</t>
  </si>
  <si>
    <t xml:space="preserve">Se la studentessa non volesse coinvolgere i genitori, la indirizzerebbe a denunciare e potrebbe accompagnarla alla polizia postale.</t>
  </si>
  <si>
    <t xml:space="preserve">Estratto 6</t>
  </si>
  <si>
    <t xml:space="preserve">viene indicata una via alternativa di aiuto fuori dal cerchio familiare.</t>
  </si>
  <si>
    <t>D17</t>
  </si>
  <si>
    <t xml:space="preserve">Chiedere aiuto</t>
  </si>
  <si>
    <t xml:space="preserve">La difficoltà maggiore è chiedere aiuto, per vergogna e per il "sentirsi sbagliati"; paragone con la violenza sessuale: "violenza a tutti gli effetti, anche quella virtuale".</t>
  </si>
  <si>
    <t xml:space="preserve">Estratto 7 (P1 21:07)</t>
  </si>
  <si>
    <t>D18</t>
  </si>
  <si>
    <t xml:space="preserve">Esempio: uno studente in difficoltà si è aperto dopo una semplice domanda amichevole in corridoio; servono osservazione ed empatia.</t>
  </si>
  <si>
    <t xml:space="preserve">è importante trovare una persona empatica a cui chiedere aiuto.</t>
  </si>
  <si>
    <t>D19</t>
  </si>
  <si>
    <t xml:space="preserve">La mancanza di contatto umano di una piattaforma può essere compensata dal forum: confrontandosi tra pari "ti senti già meno solo".</t>
  </si>
  <si>
    <t xml:space="preserve">Estratto 8 (P1 25:37)</t>
  </si>
  <si>
    <t>D20</t>
  </si>
  <si>
    <t xml:space="preserve">Il forum va supervisionato (filtri, un supervisore) per non farlo degenerare: qualcuno che osservi senza interagire e possa "lanciare l'allarme". Avverte: "se capiscono che sono controllati..."</t>
  </si>
  <si>
    <t xml:space="preserve">Estratto 9 (P2 00:02)</t>
  </si>
  <si>
    <t xml:space="preserve">viene evidenziato un tema motlo delicato che dovremo risolvere in modo soddisfacente.</t>
  </si>
  <si>
    <t>D21</t>
  </si>
  <si>
    <t xml:space="preserve">Esperti (prof, psicologi) da contattare volontariamente tramite app: il prof si dimostra d'accordo ("esatto perfetto, mettete un team di esperti")</t>
  </si>
  <si>
    <t xml:space="preserve">Estratto 9</t>
  </si>
  <si>
    <t xml:space="preserve">supporto alla nostra idea. possibile rimando a un altra app tipo unobravo.</t>
  </si>
  <si>
    <t>D22</t>
  </si>
  <si>
    <t>Piattaforma</t>
  </si>
  <si>
    <t xml:space="preserve">Sulla sezione di training proposta dal gruppo: "perfetto, ci dovrebbe essere".</t>
  </si>
  <si>
    <t xml:space="preserve">di nuovo supporto alla nostra idea</t>
  </si>
  <si>
    <t>D23</t>
  </si>
  <si>
    <t>Riservatezza</t>
  </si>
  <si>
    <t xml:space="preserve">Le esperienze devono restare nel forum (impedire gli screenshot); anonimato senza dati sensibili; chi scrive deve poter chiedere aiuto (team di esperti o numeri utili).</t>
  </si>
  <si>
    <t xml:space="preserve">Estratto 10 (P2 03:13)</t>
  </si>
  <si>
    <t xml:space="preserve">Incroci tra domande (base: rispondenti con consenso)</t>
  </si>
  <si>
    <t xml:space="preserve">Fiducia nel riconoscere foto IA × cosa hanno fatto l'ultima volta che hanno dubitato</t>
  </si>
  <si>
    <t xml:space="preserve">Ha fatto qualcosa</t>
  </si>
  <si>
    <t xml:space="preserve">Non ha fatto niente</t>
  </si>
  <si>
    <t>Totale</t>
  </si>
  <si>
    <t xml:space="preserve">Fiducia 1-3</t>
  </si>
  <si>
    <t xml:space="preserve">Fiducia alta (4-5)</t>
  </si>
  <si>
    <t xml:space="preserve">Fiducia nel riconoscere foto IA × saprebbe come agire</t>
  </si>
  <si>
    <t xml:space="preserve">Saper agire 1-3</t>
  </si>
  <si>
    <t xml:space="preserve">Saprebbe agire (4-5)</t>
  </si>
  <si>
    <t xml:space="preserve">Sa cos'è un deepfake × fiducia nel riconoscere foto IA</t>
  </si>
  <si>
    <t xml:space="preserve">ne ho sentito parlare</t>
  </si>
  <si>
    <t>no</t>
  </si>
  <si>
    <t xml:space="preserve">sì, saprei spiegarlo</t>
  </si>
  <si>
    <t xml:space="preserve">Genere × primo confidente</t>
  </si>
  <si>
    <t xml:space="preserve">Attenzione: solo 10 femmine e 4 non binari, confronto indicativo.</t>
  </si>
  <si>
    <t>altro</t>
  </si>
  <si>
    <t xml:space="preserve">amico o amica</t>
  </si>
  <si>
    <t xml:space="preserve">fratello o sorella</t>
  </si>
  <si>
    <t>genitore</t>
  </si>
  <si>
    <t>nessuno</t>
  </si>
  <si>
    <t>Femmina</t>
  </si>
  <si>
    <t>Maschio</t>
  </si>
  <si>
    <t xml:space="preserve">Non binario</t>
  </si>
  <si>
    <t xml:space="preserve">Preferisco non rispondere</t>
  </si>
  <si>
    <t xml:space="preserve">Età × come viene considerato un deepfake tra coetanei</t>
  </si>
  <si>
    <t xml:space="preserve">Come un semplice scherzo per farsi una risata</t>
  </si>
  <si>
    <t xml:space="preserve">Come una cosa seria e potenzialmente dannosa</t>
  </si>
  <si>
    <t xml:space="preserve">Dipende da quanto è pesante o imbarazzante il contenuto</t>
  </si>
  <si>
    <t xml:space="preserve">Non ci facciamo troppo caso o non saprei</t>
  </si>
  <si>
    <t>14</t>
  </si>
  <si>
    <t>15</t>
  </si>
  <si>
    <t>16</t>
  </si>
  <si>
    <t>17</t>
  </si>
  <si>
    <t xml:space="preserve">Needfinding in classe - analisi delle risposte</t>
  </si>
  <si>
    <t xml:space="preserve">Progetto HCI "Chi c'è dall'altra parte?" - attività in una classe di liceo (focus group a squadre)</t>
  </si>
  <si>
    <t xml:space="preserve">Fonti analizzate</t>
  </si>
  <si>
    <t>Contenuto</t>
  </si>
  <si>
    <t xml:space="preserve">Schede di lavoro (5 squadre)</t>
  </si>
  <si>
    <t xml:space="preserve">Tontony (5), Divo (5), Biscotto (4), Team Pasqua (5), Dream Team (4): 23 studenti in totale. Fasi 0, 1, 1bis, 2 e risposte alla tavola rotonda (TR1-TR4).</t>
  </si>
  <si>
    <t xml:space="preserve">Appunti di osservazione del team</t>
  </si>
  <si>
    <t xml:space="preserve">Note prese seguendo i gruppi durante la Fase 2 (chat). Codici OSS-01 ... OSS-28.</t>
  </si>
  <si>
    <t xml:space="preserve">Presentazione in classe</t>
  </si>
  <si>
    <t xml:space="preserve">Struttura dell'attività: Sfida reale vs IA, Tavola rotonda, Co-design. Da qui le soluzioni delle coppie della Fase 1bis.</t>
  </si>
  <si>
    <t xml:space="preserve">Soluzioni del quiz foto</t>
  </si>
  <si>
    <t xml:space="preserve">Fornite dal team: L0 V,F,F - L1 F,V,V - L2 V,V,F - L3 F,V,F - L4 tutte generate con l'IA.</t>
  </si>
  <si>
    <t xml:space="preserve">Codici usati in tutti i documenti (tracciabilità)</t>
  </si>
  <si>
    <t>Codice</t>
  </si>
  <si>
    <t>Significato</t>
  </si>
  <si>
    <t xml:space="preserve">TON, DIV, BIS, PAS, DRE</t>
  </si>
  <si>
    <t xml:space="preserve">Squadre: Tontony, Divo, Biscotto, Team Pasqua, Dream Team</t>
  </si>
  <si>
    <t>F0</t>
  </si>
  <si>
    <t xml:space="preserve">Fase 0 - autovalutazione individuale (voto 1-10)</t>
  </si>
  <si>
    <t>F1-Lx-Fy</t>
  </si>
  <si>
    <t xml:space="preserve">Fase 1 - quiz foto, livello x, foto y (es. F1-L4-F3)</t>
  </si>
  <si>
    <t>F1bis-A/B/C</t>
  </si>
  <si>
    <t xml:space="preserve">Fase 1bis - coppie di foto (quale è stata generata dall'altra)</t>
  </si>
  <si>
    <t>CH-[squadra]-Cx</t>
  </si>
  <si>
    <t xml:space="preserve">Note scritte dalla squadra sulla chat x (es. CH-DRE-C4)</t>
  </si>
  <si>
    <t>OSS-nn</t>
  </si>
  <si>
    <t>TR1...TR4-[squadra]</t>
  </si>
  <si>
    <t xml:space="preserve">Risposta della squadra alla domanda n della tavola rotonda (es. TR4-BIS)</t>
  </si>
  <si>
    <t>B1...B8</t>
  </si>
  <si>
    <t xml:space="preserve">Bisogni consolidati (vedi foglio 'Analisi tematica' e documento dei bisogni)</t>
  </si>
  <si>
    <t xml:space="preserve">Convenzioni e limiti della trascrizione</t>
  </si>
  <si>
    <t>•</t>
  </si>
  <si>
    <t xml:space="preserve">Le schede sono scritte a mano: dove la lettura è incerta il testo è segnato con [lettura incerta].</t>
  </si>
  <si>
    <t xml:space="preserve">Risposte con caselle segnate in modo contraddittorio sono marcate '?' ed escluse dai punteggi (colonna 'Esito' = n.v.).</t>
  </si>
  <si>
    <t xml:space="preserve">Tontony ha compilato i livelli 3-4 sia in tabella sia su un foglio aggiunto: dove i due non coincidono vale il dato marcato '?'.</t>
  </si>
  <si>
    <t xml:space="preserve">Biscotto non ha cerchiato la difficoltà; alcune squadre non hanno compilato la Fase 1bis-C e la Chat 6.</t>
  </si>
  <si>
    <t xml:space="preserve">Le domande della Chat 2 e della Chat 6 non sono state discusse negli appunti: i dati su quelle chat sono solo quelli delle schede.</t>
  </si>
  <si>
    <t xml:space="preserve">I numeri sono piccoli (5 squadre, 23 studenti): le percentuali servono a leggere tendenze, non hanno valore statistico.</t>
  </si>
  <si>
    <t xml:space="preserve">Fogli del file</t>
  </si>
  <si>
    <t>Foglio</t>
  </si>
  <si>
    <t>Sintesi</t>
  </si>
  <si>
    <t xml:space="preserve">Analisi complessiva: numeri chiave, grafici, punti comuni, divergenze, sorprese</t>
  </si>
  <si>
    <t xml:space="preserve">F0 Autovalutazione</t>
  </si>
  <si>
    <t xml:space="preserve">Voti individuali e medie per squadra</t>
  </si>
  <si>
    <t xml:space="preserve">F1 Foto (dati)</t>
  </si>
  <si>
    <t xml:space="preserve">Ogni risposta del quiz foto con esito calcolato, difficoltà e indizio dichiarato</t>
  </si>
  <si>
    <t xml:space="preserve">F1 Foto (matrice)</t>
  </si>
  <si>
    <t xml:space="preserve">Risposte per foto e squadra, con quante squadre hanno indovinato</t>
  </si>
  <si>
    <t xml:space="preserve">F1bis Coppie</t>
  </si>
  <si>
    <t xml:space="preserve">Coppie di foto: quale è generata e com'è la foto rimasta</t>
  </si>
  <si>
    <t xml:space="preserve">Indizi usati</t>
  </si>
  <si>
    <t xml:space="preserve">Su cosa si basano i ragazzi per dire 'è IA' e quanto quell'indizio li porta alla risposta giusta</t>
  </si>
  <si>
    <t xml:space="preserve">F2 Chat</t>
  </si>
  <si>
    <t xml:space="preserve">Giudizio sulle chat, note dei gruppi e osservazioni del team</t>
  </si>
  <si>
    <t xml:space="preserve">Tavola rotonda</t>
  </si>
  <si>
    <t xml:space="preserve">Risposte TR1-TR4 per squadra con punti comuni e divergenze</t>
  </si>
  <si>
    <t xml:space="preserve">Appunti osservazione</t>
  </si>
  <si>
    <t xml:space="preserve">Appunti del team codificati per tema</t>
  </si>
  <si>
    <t xml:space="preserve">Analisi tematica</t>
  </si>
  <si>
    <t xml:space="preserve">Temi emersi, evidenze, convergenze/divergenze e bisogno collegato</t>
  </si>
  <si>
    <t xml:space="preserve">Sintesi complessiva</t>
  </si>
  <si>
    <t xml:space="preserve">I numeri sono calcolati dagli altri fogli; i testi sono l'analisi del team</t>
  </si>
  <si>
    <t xml:space="preserve">Numeri chiave</t>
  </si>
  <si>
    <t>Indicatore</t>
  </si>
  <si>
    <t>Valore</t>
  </si>
  <si>
    <t xml:space="preserve">Studenti coinvolti</t>
  </si>
  <si>
    <t xml:space="preserve">Autovalutazione media - riconoscere un falso (1-10)</t>
  </si>
  <si>
    <t xml:space="preserve">Autovalutazione media - riconoscere adescamento (1-10)</t>
  </si>
  <si>
    <t xml:space="preserve">Accuratezza quiz foto, tutti i livelli</t>
  </si>
  <si>
    <t xml:space="preserve">Accuratezza livelli 0-1</t>
  </si>
  <si>
    <t xml:space="preserve">Accuratezza livello 4</t>
  </si>
  <si>
    <t xml:space="preserve">Foto IA non riconosciute (falsi negativi)</t>
  </si>
  <si>
    <t xml:space="preserve">Foto reali giudicate IA (falsi positivi)</t>
  </si>
  <si>
    <t xml:space="preserve">Chat giudicate sospette all'unanimità (su 5)</t>
  </si>
  <si>
    <t xml:space="preserve">Autovalutazione e risultato reale per squadra</t>
  </si>
  <si>
    <t>Squadra</t>
  </si>
  <si>
    <t xml:space="preserve">Autovalutazione foto (media /10)</t>
  </si>
  <si>
    <t xml:space="preserve">Autovalutazione in %</t>
  </si>
  <si>
    <t xml:space="preserve">Accuratezza quiz (tutti i livelli)</t>
  </si>
  <si>
    <t xml:space="preserve">Scarto L4 - autovalutazione</t>
  </si>
  <si>
    <t>Tontony</t>
  </si>
  <si>
    <t>Divo</t>
  </si>
  <si>
    <t>Biscotto</t>
  </si>
  <si>
    <t xml:space="preserve">Team Pasqua</t>
  </si>
  <si>
    <t xml:space="preserve">Dream Team</t>
  </si>
  <si>
    <t>Lettura</t>
  </si>
  <si>
    <t xml:space="preserve">Sul totale le squadre fanno meglio di quanto dichiarano, perché molte foto erano facili. Ma la fiducia dichiarata (6-7/10) non cambia con la difficoltà: al livello 4, cioè con contenuti realistici come quelli che un adescatore userebbe, quattro squadre su cinque scendono sotto la propria autovalutazione. La squadra più prudente (Team Pasqua) è l'unica che al livello 4 supera il proprio voto; Biscotto, tra le più sicure sulle chat, è quella che sbaglia di più.</t>
  </si>
  <si>
    <t xml:space="preserve">Accuratezza per livello</t>
  </si>
  <si>
    <t>Livello</t>
  </si>
  <si>
    <t>Accuratezza</t>
  </si>
  <si>
    <t xml:space="preserve">Livello 0</t>
  </si>
  <si>
    <t xml:space="preserve">estremamente facile</t>
  </si>
  <si>
    <t xml:space="preserve">Livello 1</t>
  </si>
  <si>
    <t>facile</t>
  </si>
  <si>
    <t xml:space="preserve">Livello 2</t>
  </si>
  <si>
    <t>medio</t>
  </si>
  <si>
    <t xml:space="preserve">Livello 3</t>
  </si>
  <si>
    <t>difficile</t>
  </si>
  <si>
    <t xml:space="preserve">Livello 4</t>
  </si>
  <si>
    <t xml:space="preserve">molto difficile</t>
  </si>
  <si>
    <t xml:space="preserve">Analisi complessiva</t>
  </si>
  <si>
    <t xml:space="preserve">Punti comuni</t>
  </si>
  <si>
    <t xml:space="preserve">• Tutte le squadre riconoscono senza fatica le foto facili e le richieste esplicite in chat (foto, dati personali, cambio di app, 'vieni da sola').
• Si sentono 'abbastanza' capaci (voti tra 6 e 8) e basano il giudizio su dettagli visivi ('troppo perfetto', sfondo) e su segnali sociali (amici in comune, storie, averlo visto a scuola).
• Nessuno manderebbe la foto richiesta in Chat 5; la reazione più citata è bloccare o smettere di rispondere.
• Tutte le squadre descrivono una difficoltà a parlarne con gli adulti (paura del giudizio, delle conseguenze, di perdere libertà).
• L'attività è piaciuta perché attiva: chiedono strumenti interattivi e non 'la solita lezione'.</t>
  </si>
  <si>
    <t>Divergenze</t>
  </si>
  <si>
    <t xml:space="preserve">• Chat 1, 2 e 3 dividono le squadre: le stesse conversazioni sono 'normali' per alcuni e sospette per altri, segno che i segnali iniziali non sono condivisi.
• Deepfake nel gruppo (Chat 5.1): da 'non si fa mai' a 'è solo uno scherzo', anche quando la vittima chiede di togliere la foto.
• A chi chiedere aiuto: genitori (PAS, OSS-22), prima sorella/amica e poi genitori (OSS-20), polizia postale saltando i genitori (OSS-18).
• Forum: leggere sì, scrivere poco; i commenti piacciono solo se moderati, una squadra non condividerebbe nulla di personale.
• Tutor: utilissimo per Divo, inutile per Team Pasqua (meglio qualcuno che ti conosce), ponte verso i genitori per Dream Team.</t>
  </si>
  <si>
    <t xml:space="preserve">Sorprese (momenti da approfondire)</t>
  </si>
  <si>
    <t xml:space="preserve">• Una foto del livello 4 non è stata riconosciuta da nessuna squadra e la coppia A (doppia manipolazione) ha ingannato due squadre: al livello 4 quattro squadre su cinque restano sotto la propria autovalutazione.
• Una foto viene creduta reale 'perché la faccia sembra conosciuta': la familiarità abbassa le difese.
• 'Se lo conosco da un po' ci può stare' e nessuno chiede prove dell'identità: la fiducia costruita nel tempo è il punto debole, ed è proprio la strategia dell'adescatore.
• Le foto reali con filtri vengono scambiate per IA: il sospetto generico non coincide con la capacità di riconoscere.</t>
  </si>
  <si>
    <t xml:space="preserve">Implicazioni per i bisogni</t>
  </si>
  <si>
    <t xml:space="preserve">• I cinque bisogni già individuati sono confermati dai dati (B1-B5), con alcune precisazioni: B1 descrive soprattutto il 'come' (modalità), B2 deve garantire anonimato e moderazione, B3 deve includere i segnali graduali.
• Emergono tre bisogni nuovi: B6 verificare chi c'è dall'altra parte, B7 poter coinvolgere un adulto senza paura, B8 capire quando un contenuto manipolato smette di essere uno scherzo.
• Candidati per i 3-4 bisogni da selezionare: B4, B6, B7, B8 (evidenze più forti e meno coperti da strumenti esistenti), con B1 e B2 come requisiti trasversali su come il servizio coinvolge i ragazzi.</t>
  </si>
  <si>
    <t xml:space="preserve">Fase 0 - Quanto vi sentite capaci? (voto individuale 1-10)</t>
  </si>
  <si>
    <t>Componente</t>
  </si>
  <si>
    <t xml:space="preserve">Riconoscere foto/contenuto falso</t>
  </si>
  <si>
    <t xml:space="preserve">Riconoscere adescamento in chat</t>
  </si>
  <si>
    <t>Nota</t>
  </si>
  <si>
    <t>A</t>
  </si>
  <si>
    <t>B</t>
  </si>
  <si>
    <t>C</t>
  </si>
  <si>
    <t>D</t>
  </si>
  <si>
    <t>E</t>
  </si>
  <si>
    <t xml:space="preserve">Componente C: cerchiati sia 3 sia 8 nella colonna chat (valore escluso dalla media)</t>
  </si>
  <si>
    <t xml:space="preserve">N. studenti</t>
  </si>
  <si>
    <t xml:space="preserve">Media foto</t>
  </si>
  <si>
    <t xml:space="preserve">Media chat</t>
  </si>
  <si>
    <t xml:space="preserve">Differenza chat - foto</t>
  </si>
  <si>
    <t xml:space="preserve">Totale classe</t>
  </si>
  <si>
    <t xml:space="preserve">Quasi tutti si collocano tra 6 e 8 su entrambe le abilità: nessuno si sente incapace, pochi si sentono sicurissimi. Ci si sente più capaci a riconoscere l'adescamento che a riconoscere un falso, tranne in Team Pasqua, che è la squadra più prudente su entrambe. I voti in blu sono dati trascritti dalle schede.</t>
  </si>
  <si>
    <t xml:space="preserve">Fase 1 - Reale vs IA: tutte le risposte</t>
  </si>
  <si>
    <t xml:space="preserve">Esito = 1 se la risposta coincide con la soluzione, 0 se no, n.v. se la risposta è ambigua</t>
  </si>
  <si>
    <t>Chiave</t>
  </si>
  <si>
    <t>Foto</t>
  </si>
  <si>
    <t>Soluzione</t>
  </si>
  <si>
    <t xml:space="preserve">Risposta squadra</t>
  </si>
  <si>
    <t>Esito</t>
  </si>
  <si>
    <t xml:space="preserve">Difficoltà percepita (1-5)</t>
  </si>
  <si>
    <t xml:space="preserve">Indizio dichiarato</t>
  </si>
  <si>
    <t xml:space="preserve">Nota di trascrizione</t>
  </si>
  <si>
    <t>TON|L0|1</t>
  </si>
  <si>
    <t>L0</t>
  </si>
  <si>
    <t>Reale</t>
  </si>
  <si>
    <t>TON|L0|2</t>
  </si>
  <si>
    <t>IA</t>
  </si>
  <si>
    <t>TON|L0|3</t>
  </si>
  <si>
    <t xml:space="preserve">Non esiste tra le vesti papali</t>
  </si>
  <si>
    <t>TON|L1|1</t>
  </si>
  <si>
    <t>L1</t>
  </si>
  <si>
    <t xml:space="preserve">Muscolatura del collo estrema: se allenasse il collo sarebbe anche più largo</t>
  </si>
  <si>
    <t>TON|L1|2</t>
  </si>
  <si>
    <t>TON|L1|3</t>
  </si>
  <si>
    <t>TON|L2|1</t>
  </si>
  <si>
    <t>L2</t>
  </si>
  <si>
    <t xml:space="preserve">Differenziazioni nello sfondo secondario</t>
  </si>
  <si>
    <t>TON|L2|2</t>
  </si>
  <si>
    <t>TON|L2|3</t>
  </si>
  <si>
    <t xml:space="preserve">Tratti somatici modificati</t>
  </si>
  <si>
    <t>TON|L3|1</t>
  </si>
  <si>
    <t>L3</t>
  </si>
  <si>
    <t xml:space="preserve">Dal foglio aggiuntivo</t>
  </si>
  <si>
    <t>TON|L3|2</t>
  </si>
  <si>
    <t>TON|L3|3</t>
  </si>
  <si>
    <t xml:space="preserve">Presenza di filtri</t>
  </si>
  <si>
    <t xml:space="preserve">Dal foglio aggiuntivo (corretto da No a Si)</t>
  </si>
  <si>
    <t>TON|L4|1</t>
  </si>
  <si>
    <t>L4</t>
  </si>
  <si>
    <t xml:space="preserve">Contrasto elevato</t>
  </si>
  <si>
    <t xml:space="preserve">Corretto da No a Si nel foglio aggiuntivo</t>
  </si>
  <si>
    <t>TON|L4|2</t>
  </si>
  <si>
    <t>?</t>
  </si>
  <si>
    <t xml:space="preserve">Saturazione dei colori</t>
  </si>
  <si>
    <t xml:space="preserve">Tabella: No / foglio aggiuntivo: Si - escluso dal punteggio</t>
  </si>
  <si>
    <t>TON|L4|3</t>
  </si>
  <si>
    <t>TON|L4|4</t>
  </si>
  <si>
    <t xml:space="preserve">Persone sullo sfondo secondario irreali</t>
  </si>
  <si>
    <t>DIV|L0|1</t>
  </si>
  <si>
    <t>DIV|L0|2</t>
  </si>
  <si>
    <t>DIV|L0|3</t>
  </si>
  <si>
    <t>DIV|L1|1</t>
  </si>
  <si>
    <t xml:space="preserve">Bambolina di porcellana</t>
  </si>
  <si>
    <t>DIV|L1|2</t>
  </si>
  <si>
    <t>DIV|L1|3</t>
  </si>
  <si>
    <t>DIV|L2|1</t>
  </si>
  <si>
    <t xml:space="preserve">Pelle perfettissima, sfondo strano</t>
  </si>
  <si>
    <t>DIV|L2|2</t>
  </si>
  <si>
    <t>DIV|L2|3</t>
  </si>
  <si>
    <t xml:space="preserve">Troppo "perfetta"</t>
  </si>
  <si>
    <t>DIV|L3|1</t>
  </si>
  <si>
    <t xml:space="preserve">Occhi e luce degli occhi surreale</t>
  </si>
  <si>
    <t>DIV|L3|2</t>
  </si>
  <si>
    <t>DIV|L3|3</t>
  </si>
  <si>
    <t xml:space="preserve">Tratti e ombre surreali</t>
  </si>
  <si>
    <t>DIV|L4|1</t>
  </si>
  <si>
    <t xml:space="preserve">Mignolo strano</t>
  </si>
  <si>
    <t>DIV|L4|2</t>
  </si>
  <si>
    <t>DIV|L4|3</t>
  </si>
  <si>
    <t>DIV|L4|4</t>
  </si>
  <si>
    <t xml:space="preserve">Amica dietro strana</t>
  </si>
  <si>
    <t>BIS|L0|1</t>
  </si>
  <si>
    <t>BIS|L0|2</t>
  </si>
  <si>
    <t>BIS|L0|3</t>
  </si>
  <si>
    <t xml:space="preserve">Come è vestito il Papa</t>
  </si>
  <si>
    <t>BIS|L1|1</t>
  </si>
  <si>
    <t xml:space="preserve">Troppo bello, pelle perfetta</t>
  </si>
  <si>
    <t>BIS|L1|2</t>
  </si>
  <si>
    <t>BIS|L1|3</t>
  </si>
  <si>
    <t xml:space="preserve">Ritoccata, non falsa</t>
  </si>
  <si>
    <t>BIS|L2|1</t>
  </si>
  <si>
    <t>BIS|L2|2</t>
  </si>
  <si>
    <t>BIS|L2|3</t>
  </si>
  <si>
    <t xml:space="preserve">Pelle perfetta, la mano e lo sfondo</t>
  </si>
  <si>
    <t>BIS|L3|1</t>
  </si>
  <si>
    <t>Sfondo</t>
  </si>
  <si>
    <t>BIS|L3|2</t>
  </si>
  <si>
    <t>BIS|L3|3</t>
  </si>
  <si>
    <t xml:space="preserve">Sfondo dettagliato e faccia che sembra una conosciuta (motivo per crederla reale)</t>
  </si>
  <si>
    <t>BIS|L4|1</t>
  </si>
  <si>
    <t>BIS|L4|2</t>
  </si>
  <si>
    <t xml:space="preserve">Si barrato, No annerito: letto come correzione a No</t>
  </si>
  <si>
    <t>BIS|L4|3</t>
  </si>
  <si>
    <t>BIS|L4|4</t>
  </si>
  <si>
    <t>PAS|L0|1</t>
  </si>
  <si>
    <t>PAS|L0|2</t>
  </si>
  <si>
    <t>PAS|L0|3</t>
  </si>
  <si>
    <t>PAS|L1|1</t>
  </si>
  <si>
    <t xml:space="preserve">Sembra quello di TikTok, falso</t>
  </si>
  <si>
    <t>PAS|L1|2</t>
  </si>
  <si>
    <t>PAS|L1|3</t>
  </si>
  <si>
    <t xml:space="preserve">Sembra ritoccata</t>
  </si>
  <si>
    <t xml:space="preserve">Entrambe le caselle segnate, 'NO' scritto accanto a No: letto come Si</t>
  </si>
  <si>
    <t>PAS|L2|1</t>
  </si>
  <si>
    <t xml:space="preserve">Ha la mano in qualcosa</t>
  </si>
  <si>
    <t>PAS|L2|2</t>
  </si>
  <si>
    <t>PAS|L2|3</t>
  </si>
  <si>
    <t xml:space="preserve">Si vede che non è naturale</t>
  </si>
  <si>
    <t>PAS|L3|1</t>
  </si>
  <si>
    <t xml:space="preserve">La porta storta</t>
  </si>
  <si>
    <t>PAS|L3|2</t>
  </si>
  <si>
    <t>PAS|L3|3</t>
  </si>
  <si>
    <t xml:space="preserve">Si vede che è minimamente ritoccata</t>
  </si>
  <si>
    <t>PAS|L4|1</t>
  </si>
  <si>
    <t xml:space="preserve">Luce sbagliata e cose che si uniscono</t>
  </si>
  <si>
    <t xml:space="preserve">'NO' scritto accanto a No: letto come Si</t>
  </si>
  <si>
    <t>PAS|L4|2</t>
  </si>
  <si>
    <t xml:space="preserve">Le persone dietro sono fake</t>
  </si>
  <si>
    <t>PAS|L4|3</t>
  </si>
  <si>
    <t xml:space="preserve">"Non ci aspettavamo che fosse vera"</t>
  </si>
  <si>
    <t xml:space="preserve">Commento scritto dopo la rivelazione: la credevano vera ed è falsa</t>
  </si>
  <si>
    <t>PAS|L4|4</t>
  </si>
  <si>
    <t xml:space="preserve">Le persone dietro e le posizioni</t>
  </si>
  <si>
    <t>DRE|L0|1</t>
  </si>
  <si>
    <t>DRE|L0|2</t>
  </si>
  <si>
    <t xml:space="preserve">Troppo perfetto</t>
  </si>
  <si>
    <t>DRE|L0|3</t>
  </si>
  <si>
    <t xml:space="preserve">Il Papa indossa un giubbotto</t>
  </si>
  <si>
    <t>DRE|L1|1</t>
  </si>
  <si>
    <t>DRE|L1|2</t>
  </si>
  <si>
    <t>DRE|L1|3</t>
  </si>
  <si>
    <t>DRE|L2|1</t>
  </si>
  <si>
    <t>DRE|L2|2</t>
  </si>
  <si>
    <t>DRE|L2|3</t>
  </si>
  <si>
    <t>DRE|L3|1</t>
  </si>
  <si>
    <t>DRE|L3|2</t>
  </si>
  <si>
    <t>DRE|L3|3</t>
  </si>
  <si>
    <t xml:space="preserve">Sembra un uso di filtri</t>
  </si>
  <si>
    <t xml:space="preserve">'NO' scritto accanto a entrambe le caselle - escluso dal punteggio</t>
  </si>
  <si>
    <t>DRE|L4|1</t>
  </si>
  <si>
    <t>Macchia</t>
  </si>
  <si>
    <t>DRE|L4|2</t>
  </si>
  <si>
    <t>DRE|L4|3</t>
  </si>
  <si>
    <t>DRE|L4|4</t>
  </si>
  <si>
    <t xml:space="preserve">Accuratezza per squadra</t>
  </si>
  <si>
    <t xml:space="preserve">Risposte valide</t>
  </si>
  <si>
    <t>Corrette</t>
  </si>
  <si>
    <t xml:space="preserve">Falsi positivi (reale giudicata IA)</t>
  </si>
  <si>
    <t xml:space="preserve">Falsi negativi (IA giudicata reale)</t>
  </si>
  <si>
    <t xml:space="preserve">Accuratezza per livello (tutte le squadre)</t>
  </si>
  <si>
    <t xml:space="preserve">Difficoltà media percepita</t>
  </si>
  <si>
    <t xml:space="preserve">Fase 1 - Matrice delle risposte (IA / Reale) per foto e squadra</t>
  </si>
  <si>
    <t xml:space="preserve">Verde = risposta corretta, rosso = errata. Le celle leggono il foglio 'F1 Foto (dati)'.</t>
  </si>
  <si>
    <t xml:space="preserve">Squadre che indovinano</t>
  </si>
  <si>
    <t xml:space="preserve">% corrette</t>
  </si>
  <si>
    <t>Osservazione</t>
  </si>
  <si>
    <t xml:space="preserve">Foto reale ma 'ritoccata': 2 squadre la segnano come IA (BIS, PAS)</t>
  </si>
  <si>
    <t xml:space="preserve">Foto reale giudicata IA da 3 squadre per sfondo, pelle o mano: l'indizio 'troppo perfetto' genera falsi allarmi</t>
  </si>
  <si>
    <t xml:space="preserve">BIS la crede reale perché 'la faccia sembra una conosciuta': la familiarità abbassa la guardia</t>
  </si>
  <si>
    <t xml:space="preserve">Divisione netta tra squadre</t>
  </si>
  <si>
    <t xml:space="preserve">Nessuna squadra la riconosce come IA. PAS: "non ci aspettavamo che fosse vera"</t>
  </si>
  <si>
    <t xml:space="preserve">Chi la riconosce lo fa dalle persone sullo sfondo</t>
  </si>
  <si>
    <t xml:space="preserve">Commenti scritti dalle squadre</t>
  </si>
  <si>
    <t xml:space="preserve">"Ci siamo accorti che alle volte è molto facile cadere nelle trappole dell'IA"</t>
  </si>
  <si>
    <t xml:space="preserve">"Le iniziali erano molto semplici mentre il livello 4 era difficilissimo"</t>
  </si>
  <si>
    <t xml:space="preserve">"È stato sconvolgente scoprire di non essere capaci di individuare nei livelli più avanzati le immagini create dall'IA"</t>
  </si>
  <si>
    <t xml:space="preserve">Fase 1bis - Confronti: quale foto è stata generata dall'altra, e quella rimasta com'è?</t>
  </si>
  <si>
    <t xml:space="preserve">Soluzioni dalla presentazione: A = Foto 2 generata, Foto 1 a sua volta modificata; B = Foto 2 generata, Foto 1 autentica; C = Foto 1 generata, Foto 2 modificata</t>
  </si>
  <si>
    <t>Coppia</t>
  </si>
  <si>
    <t xml:space="preserve">Sol. foto generata</t>
  </si>
  <si>
    <t>Risposta</t>
  </si>
  <si>
    <t xml:space="preserve">Sol. foto rimasta</t>
  </si>
  <si>
    <t>Difficoltà</t>
  </si>
  <si>
    <t xml:space="preserve">Note / indizi</t>
  </si>
  <si>
    <t xml:space="preserve">Foto 2</t>
  </si>
  <si>
    <t>Modificata</t>
  </si>
  <si>
    <t xml:space="preserve">Componenti dell'auto sproporzionati</t>
  </si>
  <si>
    <t>Autentica</t>
  </si>
  <si>
    <t xml:space="preserve">Rossore sotto (gli occhi)</t>
  </si>
  <si>
    <t xml:space="preserve">Foto 1</t>
  </si>
  <si>
    <t>"ops"</t>
  </si>
  <si>
    <t xml:space="preserve">Foto generata non indicata</t>
  </si>
  <si>
    <t xml:space="preserve">Non compilata</t>
  </si>
  <si>
    <t xml:space="preserve">Troppo perfetta</t>
  </si>
  <si>
    <t xml:space="preserve">Autentica e Modificata entrambe barrate</t>
  </si>
  <si>
    <t xml:space="preserve">Foto generata: corrette</t>
  </si>
  <si>
    <t xml:space="preserve">su compilate</t>
  </si>
  <si>
    <t xml:space="preserve">Foto rimasta: corrette</t>
  </si>
  <si>
    <t xml:space="preserve">su valide</t>
  </si>
  <si>
    <t xml:space="preserve">Tutti trovano la foto generata, ma Divo e Dream Team credono autentica la foto di partenza, che era già stata modificata: nessuno si aspetta una doppia manipolazione.</t>
  </si>
  <si>
    <t xml:space="preserve">Foto generata trovata da tutti; Biscotto pensa che anche l'originale sia modificata (eccesso di sospetto).</t>
  </si>
  <si>
    <t xml:space="preserve">Biscotto e Team Pasqua non la compilano, Divo solo in parte; chi risponde lo fa correttamente.</t>
  </si>
  <si>
    <t xml:space="preserve">Su cosa si basano per dire 'è fatta con l'IA'</t>
  </si>
  <si>
    <t xml:space="preserve">Ogni riga è un indizio scritto in una scheda. Esito = la risposta a cui l'indizio ha portato era giusta (1) o sbagliata (0)</t>
  </si>
  <si>
    <t>Riferimento</t>
  </si>
  <si>
    <t xml:space="preserve">Indizio scritto</t>
  </si>
  <si>
    <t xml:space="preserve">Risposta data</t>
  </si>
  <si>
    <t xml:space="preserve">Contesto implausibile</t>
  </si>
  <si>
    <t>F1-L0-F3</t>
  </si>
  <si>
    <t xml:space="preserve">Anatomia (mani, dita, collo)</t>
  </si>
  <si>
    <t>F1-L1-F1</t>
  </si>
  <si>
    <t xml:space="preserve">Sfondo e persone sullo sfondo</t>
  </si>
  <si>
    <t>F1-L2-F1</t>
  </si>
  <si>
    <t xml:space="preserve">Tratti del volto alterati</t>
  </si>
  <si>
    <t>F1-L2-F3</t>
  </si>
  <si>
    <t xml:space="preserve">Filtri, colori, ritocco</t>
  </si>
  <si>
    <t>F1-L3-F3</t>
  </si>
  <si>
    <t>F1-L4-F1</t>
  </si>
  <si>
    <t>F1-L4-F2</t>
  </si>
  <si>
    <t>F1-L4-F4</t>
  </si>
  <si>
    <t xml:space="preserve">Pelle/volto 'troppo perfetti'</t>
  </si>
  <si>
    <t xml:space="preserve">Luce, occhi, ombre</t>
  </si>
  <si>
    <t>F1-L3-F1</t>
  </si>
  <si>
    <t>F1-L1-F3</t>
  </si>
  <si>
    <t xml:space="preserve">Familiarità / somiglianza</t>
  </si>
  <si>
    <t xml:space="preserve">Oggetti deformati o fusi</t>
  </si>
  <si>
    <t>F1-L0-F2</t>
  </si>
  <si>
    <t>F1bis-A</t>
  </si>
  <si>
    <t>F1bis-B</t>
  </si>
  <si>
    <t xml:space="preserve">Riepilogo per categoria</t>
  </si>
  <si>
    <t>Citazioni</t>
  </si>
  <si>
    <t xml:space="preserve">Squadre che la usano</t>
  </si>
  <si>
    <t xml:space="preserve">Portano alla risposta giusta</t>
  </si>
  <si>
    <t>Affidabilità</t>
  </si>
  <si>
    <t xml:space="preserve">Biscotto, Divo, Dream Team, Team Pasqua</t>
  </si>
  <si>
    <t xml:space="preserve">L'indizio più condiviso. Funziona sulle foto facili ma genera anche falsi allarmi su foto reali (F1-L2-F1).</t>
  </si>
  <si>
    <t xml:space="preserve">Biscotto, Divo, Dream Team, Team Pasqua, Tontony</t>
  </si>
  <si>
    <t xml:space="preserve">Il più usato in assoluto e il più utile sui livelli difficili (persone sullo sfondo), ma uno 'sfondo dettagliato' viene letto anche come prova di realtà.</t>
  </si>
  <si>
    <t xml:space="preserve">Biscotto, Divo, Team Pasqua, Tontony</t>
  </si>
  <si>
    <t xml:space="preserve">Utile (mignolo, collo) ma porta a errori quando un dettaglio reale sembra strano (la mano in F1-L2-F1).</t>
  </si>
  <si>
    <t xml:space="preserve">Divo, Team Pasqua</t>
  </si>
  <si>
    <t xml:space="preserve">Usato poco, ma sempre con esito corretto.</t>
  </si>
  <si>
    <t xml:space="preserve">Biscotto, Dream Team, Team Pasqua, Tontony</t>
  </si>
  <si>
    <t xml:space="preserve">Confonde 'ritoccata' con 'generata': le foto reali con filtri vengono scambiate per IA.</t>
  </si>
  <si>
    <t xml:space="preserve">Dream Team, Team Pasqua, Tontony</t>
  </si>
  <si>
    <t xml:space="preserve">Indizio raro ma preciso (porta storta, auto sproporzionata).</t>
  </si>
  <si>
    <t xml:space="preserve">Biscotto, Dream Team, Tontony</t>
  </si>
  <si>
    <t xml:space="preserve">Funziona solo sul caso famoso (il Papa): utile per le foto virali, inutile sui selfie.</t>
  </si>
  <si>
    <t xml:space="preserve">Biscotto, Team Pasqua</t>
  </si>
  <si>
    <t xml:space="preserve">Pericoloso: un volto che 'sembra conosciuto' rende la foto più credibile.</t>
  </si>
  <si>
    <t xml:space="preserve">Indizio fine, usato da una sola squadra.</t>
  </si>
  <si>
    <t xml:space="preserve">Fase 2 - Fidarsi? Giudizio sulle chat</t>
  </si>
  <si>
    <t xml:space="preserve">Domanda 1 della scheda: 'Secondo voi è una chat sospetta di adescamento?' (le domande 2-3 sono state discusse a voce)</t>
  </si>
  <si>
    <t>Chat</t>
  </si>
  <si>
    <t>Sì</t>
  </si>
  <si>
    <t>No</t>
  </si>
  <si>
    <t xml:space="preserve">Non sappiamo</t>
  </si>
  <si>
    <t>Consenso</t>
  </si>
  <si>
    <t xml:space="preserve">Chat 1</t>
  </si>
  <si>
    <t xml:space="preserve">Chat 2</t>
  </si>
  <si>
    <t xml:space="preserve">Chat 3</t>
  </si>
  <si>
    <t xml:space="preserve">Chat 4 (parte 1 e 2)</t>
  </si>
  <si>
    <t xml:space="preserve">Chat 5</t>
  </si>
  <si>
    <t xml:space="preserve">Cosa hanno notato, chat per chat</t>
  </si>
  <si>
    <t xml:space="preserve">Note scritte dai gruppi</t>
  </si>
  <si>
    <t xml:space="preserve">Osservazioni del team (codici OSS)</t>
  </si>
  <si>
    <t xml:space="preserve">Punti comuni / divergenze</t>
  </si>
  <si>
    <t xml:space="preserve">[CH-TON-C1] Tontony: Vittimismo finale, trucco psicologico; non rivela l'identità e fa domande sospette; risponde troppo velocemente
[CH-DRE-C1] Dream Team: Domande strane, un po' da stalker; chiede foto; evita i problemi</t>
  </si>
  <si>
    <t xml:space="preserve">[OSS-01] Chat percepita come normale, forse "pressa un po' troppo"
[OSS-02] Notano la schermata centrale: controllare il telefono e inventare scuse
[OSS-03] Lo bloccherebbero
[OSS-04] L'ultima schermata, gli ultimi messaggi sono i peggiori (escalation)
[OSS-05] Molti capiscono che la chat 1 è pericolosa e discutono sia dei messaggi sia delle risposte</t>
  </si>
  <si>
    <t xml:space="preserve">COMUNE: riconoscono l'escalation finale e la richiesta di nascondere/controllare il telefono; reazione tipica: bloccare.
DIVERGENZA: Divo la giudica non sospetta e un'osservazione la descrive come 'chat normale': i segnali iniziali sono deboli e vengono notati solo alla fine.</t>
  </si>
  <si>
    <t xml:space="preserve">[CH-DRE-C2] Dream Team: Manda foto fatte con l'IA; chiede foto</t>
  </si>
  <si>
    <t>-</t>
  </si>
  <si>
    <t xml:space="preserve">DIVERGENZA FORTE: Biscotto Sì, Dream Team No (pur annotando foto fatte con l'IA e richiesta di foto), Tontony 'non sappiamo', 2 squadre non rispondono. Chat su cui manca un criterio condiviso.</t>
  </si>
  <si>
    <t xml:space="preserve">[CH-TON-C3] Tontony: Ha degli elementi genuini e anche un po' tossici. Il cercare il confronto frontale fa pensare a un sì però
[CH-DIV-C3] Divo: "Sembra un account" (profilo costruito/falso)</t>
  </si>
  <si>
    <t xml:space="preserve">[OSS-07] Si fanno troppa confidenza senza conoscersi ("non ti tratterei mai così"); insistenza nella richiesta della foto
[OSS-08] Notano la foto finta inviata nella chat e quindi i metodi per guadagnare fiducia
[OSS-09] Notano gli orari dei messaggi come possibile indicatore di sospetto</t>
  </si>
  <si>
    <t xml:space="preserve">COMUNE: troppa confidenza senza conoscersi, insistenza sulla foto, foto finta usata per guadagnare fiducia, orari sospetti.
DIVERGENZA: Tontony vede 'elementi genuini' (la proposta di vedersi di persona sembra una garanzia); Dream Team la giudica non sospetta.</t>
  </si>
  <si>
    <t xml:space="preserve">[CH-TON-C4] Tontony: Spostarsi su Snapchat; frase di lusinga esagerata ("unica...", lettura incerta); poi chiede di non presentarsi con altri
[CH-DRE-C4] Dream Team: Un po' pervertito; cerca di isolarti ("cerca la solitudine"); una foto finta; chiede dati personali; stalker; passaggio di app sospetto</t>
  </si>
  <si>
    <t xml:space="preserve">[OSS-10] Pressa troppo soprattutto nella fase finale ("Alle 4 in Duomo..."), però "se lo conosco da un po' ci può stare"
[OSS-11] Mancano riferimenti: nessuno chiede ulteriori prove a lui, accettano passivamente il suo comportamento
[OSS-12] Stalker: sa cose che non sono state dette; scrive nonostante la differenza di età
[OSS-13] Passaggio a Snapchat; tono aggressivo; chiede di venire da sola e di mentire ai genitori
[OSS-14] Chiede dati personali e dettagli che i ragazzi non se la sentono di condividere; mettono in discussione il passaggio a Snapchat
[OSS-15] Se non lo conoscono non danno il numero o altri dettagli, per non essere tracciati/seguiti su altre piattaforme
[OSS-16] Per le ragazze è strano che un ragazzo di 21 anni scriva a una ragazza di 16: chat sospetta
[OSS-17] La foto sembra falsa, quindi non si fiderebbero a continuare la conversazione</t>
  </si>
  <si>
    <t xml:space="preserve">COMUNE: la chat più riconosciuta: cambio di app (Snapchat), richiesta di venire da sola e mentire ai genitori, differenza d'età, dati personali, sa cose non dette.
SORPRESA: 'se lo conosco da un po' ci può stare' e nessuno chiede prove della sua identità (OSS-10, OSS-11).</t>
  </si>
  <si>
    <t xml:space="preserve">[CH-TON-C5] Tontony: Contraddizione nel "dove ti ho visto". Dopo aver condiviso la foto, l'adescatore non risponde più
[CH-DRE-C5] Dream Team: Stalker, pervertito</t>
  </si>
  <si>
    <t xml:space="preserve">[OSS-18] I genitori vengono "saltati": vanno alla polizia postale o avvisano loro gli amici che le foto sono fake, mai dai genitori (poca confidenza o timore)
[OSS-19] Interlocutore vago, omette informazioni, insistente, fa molte domande
[OSS-20] La vittima non vuole dirlo a nessuno (comprensibile) ma bisogna parlarne: prima con persone di confidenza (sorella, amica), poi con i genitori, per sentire più pareri
[OSS-21] Alcuni andrebbero avanti per capire di più su Luca; altri notano la contraddizione (dice di aver visto Matteo alla partita ma gli chiede una foto con la maglia)
[OSS-22] Non avrebbero inviato la foto; in caso di sospetto lo direbbero ai genitori</t>
  </si>
  <si>
    <t xml:space="preserve">COMUNE: nessuno manderebbe la foto; notano la contraddizione 'ti ho visto alla partita'.
DIVERGENZA: a chi chiederebbero aiuto: polizia postale e amici saltando i genitori (OSS-18), prima sorella/amica e poi genitori (OSS-20), direttamente i genitori (OSS-22). Alcuni andrebbero avanti per curiosità (OSS-21).</t>
  </si>
  <si>
    <t xml:space="preserve">Chat 5.1</t>
  </si>
  <si>
    <t xml:space="preserve">[CH-DRE-C5.1] Dream Team: Cyberbullismo modificando foto</t>
  </si>
  <si>
    <t xml:space="preserve">[OSS-23] La foto modificata inoltrata nel gruppo è vista come uno scherzo; se girasse in più gruppi o con sconosciuti la prenderebbero più seriamente. Sensibilità parziale: va chiarito quando diventa grave
[OSS-24] Non si mandano foto modificate con l'IA sul gruppo, la prenderebbero male indipendentemente dal tono; dipende dal soggetto preso di mira, ma se la prende male è giusto eliminarla
[OSS-25] Considerano la chat uno scherzo nonostante Matteo sia uscito dal gruppo e abbia chiesto di togliere la foto</t>
  </si>
  <si>
    <t xml:space="preserve">DIVERGENZA: per alcuni la foto modificata nel gruppo è uno scherzo anche quando la vittima esce dal gruppo (OSS-25); per altri non si fa mai (OSS-24). Biscotto la prenderebbe sul serio solo se girasse fuori dal gruppo (OSS-23).</t>
  </si>
  <si>
    <t xml:space="preserve">Chat 6</t>
  </si>
  <si>
    <t xml:space="preserve">[CH-DRE-C6] Dream Team: Parlare con un adulto o con qualcuno che ti possa aiutare</t>
  </si>
  <si>
    <t xml:space="preserve">Nessuna squadra ha segnato la risposta preferita di Giulia. Dream Team scrive che bisogna parlare con un adulto o con qualcuno che può aiutare.</t>
  </si>
  <si>
    <t xml:space="preserve">Tavola rotonda - risposte alle domande TR1-TR4</t>
  </si>
  <si>
    <t>Domanda</t>
  </si>
  <si>
    <t xml:space="preserve">Sotto-domanda (co-design)</t>
  </si>
  <si>
    <t>Bisogni</t>
  </si>
  <si>
    <t xml:space="preserve">TR1. Quando vi scrive qualcuno che non conoscete, su cosa vi basate per decidere se fidarvi?</t>
  </si>
  <si>
    <t xml:space="preserve">Vi piacerebbe che un servizio vi insegnasse come riconoscere i segnali più affidabili da chi vi scrive? In che forma? (consigli brevi, esempi, video, giochi interattivi, botta e risposta)</t>
  </si>
  <si>
    <t xml:space="preserve">Questo progetto ci ha interessato perché ci ha fatto agire in prima persona, con giochi e quiz interattivi. Ci piacerebbe la presenza di un servizio educativo al comportamento online.</t>
  </si>
  <si>
    <t xml:space="preserve">Rispondo ma faccio sia domande sia risposte "basilari", cose di poco conto. Se ci rendiamo conto che c'è un pericolo smettiamo. Guardiamo anche gli amici in comune e le storie in evidenza (se ci sono). Sì, ci piacerebbe, magari attraverso ore scolastiche più interattive come oggi o cose più tecnologiche, non una lezione come le solite.</t>
  </si>
  <si>
    <t xml:space="preserve">In base ai messaggi che manda e al fatto se è insistente o meno. Incontri come oggi possono servire e sono belli.</t>
  </si>
  <si>
    <t xml:space="preserve">Mi fido di più se ci sono degli amici in comune e se l'ho visto almeno una volta in giro o a scuola. Inoltre ci piacerebbe avere un servizio per essere più consapevoli.</t>
  </si>
  <si>
    <t xml:space="preserve">Se lo conosco già dal vivo mi fido, altrimenti no.</t>
  </si>
  <si>
    <t xml:space="preserve">Ci si fida di chi si conosce dal vivo o di chi ha amici in comune / storie in evidenza; insistenza come campanello. Tutte le squadre che rispondono alla sotto-domanda vogliono un servizio educativo, purché attivo e interattivo ('come oggi', giochi e quiz).</t>
  </si>
  <si>
    <t xml:space="preserve">Strategie diverse: Dream Team non si fida mai di chi non conosce dal vivo; Divo risponde 'con cose basilari' e smette solo se avverte il pericolo (mette alla prova la conversazione invece di chiudere).</t>
  </si>
  <si>
    <t xml:space="preserve">B1, B3, B6</t>
  </si>
  <si>
    <t xml:space="preserve">TR2. Vi sentite capaci di riconoscere una foto fatta con l'IA? Cosa vi rende sicuri?</t>
  </si>
  <si>
    <t xml:space="preserve">Preferite ricevere feedback dalla piattaforma o vi stimola di più un gioco tipo vero o falso, con punti, livelli e sfide anche con amici online?</t>
  </si>
  <si>
    <t xml:space="preserve">Ci sentiamo abbastanza sicuri, anche se davanti al livello difficile del quiz ci siamo resi conto di quanto può essere facile essere adescati online.</t>
  </si>
  <si>
    <t xml:space="preserve">Abbastanza, soprattutto rispetto a certi adulti. Siamo più abituati a stare in contatto con l'IA.</t>
  </si>
  <si>
    <t xml:space="preserve">Sì, nella maggior parte dei casi, ma alcune ingannano. Guardare i dettagli.</t>
  </si>
  <si>
    <t xml:space="preserve">Riconosciamo la maggior parte delle foto fatte con l'IA, eccetto alcune.</t>
  </si>
  <si>
    <t xml:space="preserve">No, [la percezione sui volti è difficile - lettura incerta]. Gioco con punti e livelli online con gli amici.</t>
  </si>
  <si>
    <t xml:space="preserve">Si sentono 'abbastanza' capaci, ma ammettono che alcune foto ingannano; la sicurezza viene dal 'guardare i dettagli'.</t>
  </si>
  <si>
    <t xml:space="preserve">Divo si sente più capace degli adulti 'perché più abituati all'IA'; Dream Team risponde 'No' e indica il gioco a punti e livelli con amici; Tontony dice che il livello difficile ha fatto capire quanto è facile cadere.</t>
  </si>
  <si>
    <t xml:space="preserve">B4, B1</t>
  </si>
  <si>
    <t xml:space="preserve">TR3. Siete d'accordo nell'avere un forum come spazio condiviso?</t>
  </si>
  <si>
    <t xml:space="preserve">Deve esserci solo pubblicazione e lettura delle esperienze, o anche reazioni e commenti (revisionati per evitare commenti inappropriati)?</t>
  </si>
  <si>
    <t xml:space="preserve">Sì, siamo d'accordo perché l'esperienza del singolo può aiutare il gruppo, ma altre persone possono screditare queste esperienze utili.</t>
  </si>
  <si>
    <t xml:space="preserve">Sì, sarebbe un'ottima opzione; dovrebbero esserci più possibilità sociali (reazioni/commenti).</t>
  </si>
  <si>
    <t xml:space="preserve">Se ci sono consigli ed esperienze sì, ma non condivideremmo esperienze personali.</t>
  </si>
  <si>
    <t xml:space="preserve">Noi manterremmo le interazioni e i commenti, soprattutto se le piattaforme online incrementassero la sicurezza e controllassero i commenti negativi.</t>
  </si>
  <si>
    <t xml:space="preserve">Non saprei come risponderei, dato che non ho mai fatto un'esperienza in un forum.</t>
  </si>
  <si>
    <t xml:space="preserve">Il forum piace come luogo per leggere esperienze e consigli.</t>
  </si>
  <si>
    <t xml:space="preserve">Sulla scrittura: Biscotto non condividerebbe esperienze personali; Team Pasqua e Divo vogliono commenti e reazioni ma moderati; Tontony teme che altri 'screditino' le esperienze; Dream Team non ha mai usato un forum.</t>
  </si>
  <si>
    <t>B2</t>
  </si>
  <si>
    <t xml:space="preserve">TR4. Quali sono i principali motivi per cui diffidate nel parlarne con gli adulti?</t>
  </si>
  <si>
    <t xml:space="preserve">È utile inserire nell'app la possibilità di fare da tutor su questa problematica? Può aumentare la probabilità di parlarne o resta la paura?</t>
  </si>
  <si>
    <t xml:space="preserve">A quest'età si tende ad apprendere il mondo a modo proprio, senza chiedere consiglio a nessuno. Questa pratica può avere un risvolto negativo quando si nascondono fatti gravi.</t>
  </si>
  <si>
    <t xml:space="preserve">Perché spesso reagiscono senza cercare un punto d'incontro o di capire cosa proviamo e in che società ormai viviamo. Il tutor sarebbe utilissimo.</t>
  </si>
  <si>
    <t xml:space="preserve">Dover affrontare le conseguenze, essere giudicata e non avere più la libertà di prima.</t>
  </si>
  <si>
    <t xml:space="preserve">Ci affidiamo agli adulti perché riconosciamo in loro maggiore stabilità e maturità. Non siamo d'accordo sul tutor online perché è meglio confidarsi con qualcuno che conosci, di cui ti fidi e che può darti consigli migliori conoscendo il tuo carattere.</t>
  </si>
  <si>
    <t xml:space="preserve">La convinzione di poter risolvere tutto da soli e il disagio, dato che è molto difficile una conversazione. Secondo noi [il tutor] può aiutare i genitori a intervenire in questo frangente [lettura incerta].</t>
  </si>
  <si>
    <t xml:space="preserve">Tutte le squadre descrivono una difficoltà a parlarne con gli adulti: paura delle conseguenze, del giudizio, di perdere libertà; adulti che reagiscono senza capire; la convinzione di farcela da soli.</t>
  </si>
  <si>
    <t xml:space="preserve">Sul tutor: Divo lo trova utilissimo; Team Pasqua contraria (meglio qualcuno che ti conosce) e, unica, dice di affidarsi agli adulti; Dream Team lo vede come ponte verso i genitori.</t>
  </si>
  <si>
    <t xml:space="preserve">B7, B5</t>
  </si>
  <si>
    <t xml:space="preserve">Appunti di osservazione del team, codificati</t>
  </si>
  <si>
    <t xml:space="preserve">Chat / momento</t>
  </si>
  <si>
    <t xml:space="preserve">Squadra (se nota)</t>
  </si>
  <si>
    <t>Appunto</t>
  </si>
  <si>
    <t>Tema</t>
  </si>
  <si>
    <t>OSS-01</t>
  </si>
  <si>
    <t xml:space="preserve">Chat percepita come normale, forse "pressa un po' troppo"</t>
  </si>
  <si>
    <t xml:space="preserve">Riconoscimento segnali</t>
  </si>
  <si>
    <t>OSS-02</t>
  </si>
  <si>
    <t xml:space="preserve">Notano la schermata centrale: controllare il telefono e inventare scuse</t>
  </si>
  <si>
    <t>OSS-03</t>
  </si>
  <si>
    <t xml:space="preserve">Lo bloccherebbero</t>
  </si>
  <si>
    <t>Reazione</t>
  </si>
  <si>
    <t>OSS-04</t>
  </si>
  <si>
    <t xml:space="preserve">L'ultima schermata, gli ultimi messaggi sono i peggiori (escalation)</t>
  </si>
  <si>
    <t>OSS-05</t>
  </si>
  <si>
    <t xml:space="preserve">Molti capiscono che la chat 1 è pericolosa e discutono sia dei messaggi sia delle risposte</t>
  </si>
  <si>
    <t>OSS-06</t>
  </si>
  <si>
    <t>Generale</t>
  </si>
  <si>
    <t xml:space="preserve">Molti sono diffidenti verso sconosciuti che fanno richieste esplicite, altri accettano richieste da sconosciuti</t>
  </si>
  <si>
    <t xml:space="preserve">Criteri di fiducia</t>
  </si>
  <si>
    <t>OSS-07</t>
  </si>
  <si>
    <t xml:space="preserve">Si fanno troppa confidenza senza conoscersi ("non ti tratterei mai così"); insistenza nella richiesta della foto</t>
  </si>
  <si>
    <t>OSS-08</t>
  </si>
  <si>
    <t xml:space="preserve">Notano la foto finta inviata nella chat e quindi i metodi per guadagnare fiducia</t>
  </si>
  <si>
    <t xml:space="preserve">Deepfake nelle chat</t>
  </si>
  <si>
    <t>OSS-09</t>
  </si>
  <si>
    <t xml:space="preserve">Notano gli orari dei messaggi come possibile indicatore di sospetto</t>
  </si>
  <si>
    <t>OSS-10</t>
  </si>
  <si>
    <t xml:space="preserve">Chat 4.1-4.2</t>
  </si>
  <si>
    <t xml:space="preserve">Pressa troppo soprattutto nella fase finale ("Alle 4 in Duomo..."), però "se lo conosco da un po' ci può stare"</t>
  </si>
  <si>
    <t>OSS-11</t>
  </si>
  <si>
    <t xml:space="preserve">Mancano riferimenti: nessuno chiede ulteriori prove a lui, accettano passivamente il suo comportamento</t>
  </si>
  <si>
    <t xml:space="preserve">Verifica identità</t>
  </si>
  <si>
    <t>OSS-12</t>
  </si>
  <si>
    <t xml:space="preserve">Chat 4.1</t>
  </si>
  <si>
    <t xml:space="preserve">Stalker: sa cose che non sono state dette; scrive nonostante la differenza di età</t>
  </si>
  <si>
    <t>OSS-13</t>
  </si>
  <si>
    <t xml:space="preserve">Passaggio a Snapchat; tono aggressivo; chiede di venire da sola e di mentire ai genitori</t>
  </si>
  <si>
    <t>OSS-14</t>
  </si>
  <si>
    <t xml:space="preserve">Chat 4</t>
  </si>
  <si>
    <t xml:space="preserve">Chiede dati personali e dettagli che i ragazzi non se la sentono di condividere; mettono in discussione il passaggio a Snapchat</t>
  </si>
  <si>
    <t>OSS-15</t>
  </si>
  <si>
    <t xml:space="preserve">BIS o PAS</t>
  </si>
  <si>
    <t xml:space="preserve">Se non lo conoscono non danno il numero o altri dettagli, per non essere tracciati/seguiti su altre piattaforme</t>
  </si>
  <si>
    <t xml:space="preserve">Protezione dati</t>
  </si>
  <si>
    <t>OSS-16</t>
  </si>
  <si>
    <t xml:space="preserve">Per le ragazze è strano che un ragazzo di 21 anni scriva a una ragazza di 16: chat sospetta</t>
  </si>
  <si>
    <t>OSS-17</t>
  </si>
  <si>
    <t xml:space="preserve">La foto sembra falsa, quindi non si fiderebbero a continuare la conversazione</t>
  </si>
  <si>
    <t>OSS-18</t>
  </si>
  <si>
    <t xml:space="preserve">I genitori vengono "saltati": vanno alla polizia postale o avvisano loro gli amici che le foto sono fake, mai dai genitori (poca confidenza o timore)</t>
  </si>
  <si>
    <t xml:space="preserve">Rapporto con gli adulti</t>
  </si>
  <si>
    <t>OSS-19</t>
  </si>
  <si>
    <t xml:space="preserve">Interlocutore vago, omette informazioni, insistente, fa molte domande</t>
  </si>
  <si>
    <t>OSS-20</t>
  </si>
  <si>
    <t xml:space="preserve">La vittima non vuole dirlo a nessuno (comprensibile) ma bisogna parlarne: prima con persone di confidenza (sorella, amica), poi con i genitori, per sentire più pareri</t>
  </si>
  <si>
    <t>OSS-21</t>
  </si>
  <si>
    <t xml:space="preserve">Alcuni andrebbero avanti per capire di più su Luca; altri notano la contraddizione (dice di aver visto Matteo alla partita ma gli chiede una foto con la maglia)</t>
  </si>
  <si>
    <t>OSS-22</t>
  </si>
  <si>
    <t xml:space="preserve">Non avrebbero inviato la foto; in caso di sospetto lo direbbero ai genitori</t>
  </si>
  <si>
    <t>OSS-23</t>
  </si>
  <si>
    <t>BIS</t>
  </si>
  <si>
    <t xml:space="preserve">La foto modificata inoltrata nel gruppo è vista come uno scherzo; se girasse in più gruppi o con sconosciuti la prenderebbero più seriamente. Sensibilità parziale: va chiarito quando diventa grave</t>
  </si>
  <si>
    <t xml:space="preserve">Gravità contenuti manipolati</t>
  </si>
  <si>
    <t>OSS-24</t>
  </si>
  <si>
    <t xml:space="preserve">Non si mandano foto modificate con l'IA sul gruppo, la prenderebbero male indipendentemente dal tono; dipende dal soggetto preso di mira, ma se la prende male è giusto eliminarla</t>
  </si>
  <si>
    <t>OSS-25</t>
  </si>
  <si>
    <t xml:space="preserve">Considerano la chat uno scherzo nonostante Matteo sia uscito dal gruppo e abbia chiesto di togliere la foto</t>
  </si>
  <si>
    <t>OSS-26</t>
  </si>
  <si>
    <t xml:space="preserve">Domanda 3</t>
  </si>
  <si>
    <t xml:space="preserve">Il forum è interessante per vedere cosa è successo ad altri e sentirsi meno soli, ma non spinge le ragazze a scrivere le loro esperienze (molto titubanti)</t>
  </si>
  <si>
    <t xml:space="preserve">Confronto tra pari</t>
  </si>
  <si>
    <t>OSS-27</t>
  </si>
  <si>
    <t xml:space="preserve">Alcuni studenti non prendono seriamente l'attività</t>
  </si>
  <si>
    <t>Coinvolgimento</t>
  </si>
  <si>
    <t>OSS-28</t>
  </si>
  <si>
    <t xml:space="preserve">Difficoltà iniziali a capire l'attività, poi "a gonfie vele"</t>
  </si>
  <si>
    <t xml:space="preserve">N. appunti</t>
  </si>
  <si>
    <t xml:space="preserve">Analisi tematica - dai dati ai bisogni</t>
  </si>
  <si>
    <t xml:space="preserve">Per ogni tema: cosa dicono le fonti, dove i gruppi concordano o divergono, e quale bisogno ne deriva</t>
  </si>
  <si>
    <t xml:space="preserve">Cosa emerge</t>
  </si>
  <si>
    <t xml:space="preserve">Evidenze (codici)</t>
  </si>
  <si>
    <t>Convergenza</t>
  </si>
  <si>
    <t>Divergenza</t>
  </si>
  <si>
    <t xml:space="preserve">Insight per il progetto</t>
  </si>
  <si>
    <t>Bisogno</t>
  </si>
  <si>
    <t xml:space="preserve">T1. Sovrastima delle proprie capacità</t>
  </si>
  <si>
    <t xml:space="preserve">Autovalutazione media 6,6/10 sulle foto e 7/10 sulle chat. Accuratezza 93% ai livelli 0-1, 53% al livello 4; una foto IA del livello 4 non viene riconosciuta da nessuno. La fiducia non cambia con la difficoltà: chi si dichiara più prudente (Team Pasqua) va meglio sui contenuti difficili.</t>
  </si>
  <si>
    <t xml:space="preserve">F0; F1-L4-F3; F1bis-A; TR2-TON, TR2-DIV, TR2-DRE; commenti TON, DIV, DRE</t>
  </si>
  <si>
    <t xml:space="preserve">Tutte le squadre sbagliano almeno una foto del livello 4 e 3 squadre scrivono spontaneamente di essere rimaste sorprese.</t>
  </si>
  <si>
    <t xml:space="preserve">Divo si dichiara più capace degli adulti; Dream Team dice esplicitamente 'No'.</t>
  </si>
  <si>
    <t xml:space="preserve">Il momento di 'scoperta' dell'errore è stato il più potente dell'attività: il prodotto deve farlo vivere, non solo raccontarlo.</t>
  </si>
  <si>
    <t>B4</t>
  </si>
  <si>
    <t xml:space="preserve">T2. Indizi visivi poco affidabili</t>
  </si>
  <si>
    <t xml:space="preserve">Gli indizi più usati ('troppo perfetto', sfondo, ritocco) funzionano sulle foto facili ma producono falsi allarmi su foto reali e falsa sicurezza su foto IA ben fatte; la familiarità di un volto aumenta la fiducia.</t>
  </si>
  <si>
    <t xml:space="preserve">Foglio 'Indizi usati'; F1-L2-F1; F1-L1-F3; F1-L3-F3 (BIS)</t>
  </si>
  <si>
    <t xml:space="preserve">Tutti cercano dettagli anomali nell'immagine.</t>
  </si>
  <si>
    <t xml:space="preserve">C'è chi confonde 'ritoccata' e 'generata'.</t>
  </si>
  <si>
    <t xml:space="preserve">Insegnare 'come guardare' non basta: serve spostare l'attenzione dall'immagine al contesto (chi la manda, perché, cosa chiede).</t>
  </si>
  <si>
    <t xml:space="preserve">B4, B6</t>
  </si>
  <si>
    <t xml:space="preserve">T3. Criteri di fiducia fragili</t>
  </si>
  <si>
    <t xml:space="preserve">Ci si fida per amici in comune, storie in evidenza, averlo visto a scuola, 'lo conosco da un po''. Nessuno chiede prove dell'identità; la proposta di incontrarsi viene letta come garanzia.</t>
  </si>
  <si>
    <t xml:space="preserve">TR1-DIV, TR1-PAS, TR1-DRE; OSS-10, OSS-11; CH-TON-C3</t>
  </si>
  <si>
    <t xml:space="preserve">Tutti hanno un criterio di fiducia, quasi sempre basato su segnali sociali.</t>
  </si>
  <si>
    <t xml:space="preserve">Dream Team: fiducia solo a chi si conosce dal vivo.</t>
  </si>
  <si>
    <t xml:space="preserve">I segnali sociali sono esattamente ciò che un adescatore (aiutato dall'IA) può costruire: va reso esplicito e allenato il 'verificare'.</t>
  </si>
  <si>
    <t>B6</t>
  </si>
  <si>
    <t xml:space="preserve">T4. Riconoscimento dei segnali nelle chat</t>
  </si>
  <si>
    <t xml:space="preserve">Le richieste esplicite (foto, dati, cambio app, venire da sola, mentire ai genitori) vengono riconosciute bene; i segnali graduali e la manipolazione emotiva ('non ti tratterei mai così', vittimismo) vengono notati tardi.</t>
  </si>
  <si>
    <t xml:space="preserve">F2 (consenso); OSS-01, OSS-04, OSS-05, OSS-07, OSS-12, OSS-13, OSS-16; CH-TON-C1, CH-DRE-C4</t>
  </si>
  <si>
    <t xml:space="preserve">Chat 4 e 5 giudicate sospette quasi da tutti; individuano bene l'escalation finale.</t>
  </si>
  <si>
    <t xml:space="preserve">Chat 1, 2, 3: almeno una squadra le considera non sospette o non sa.</t>
  </si>
  <si>
    <t xml:space="preserve">Il pericolo si riconosce alla fine della conversazione, quando è già avanzata: serve allenare il riconoscimento precoce.</t>
  </si>
  <si>
    <t>B3</t>
  </si>
  <si>
    <t xml:space="preserve">T5. Barriera verso gli adulti</t>
  </si>
  <si>
    <t xml:space="preserve">Paura delle conseguenze, del giudizio, di perdere libertà; adulti che reagiscono senza capire; volersela cavare da soli. Si passa da amici, sorelle o direttamente dalla polizia postale.</t>
  </si>
  <si>
    <t xml:space="preserve">TR4 (tutte le squadre); OSS-18, OSS-20, OSS-22</t>
  </si>
  <si>
    <t xml:space="preserve">Tutte le squadre parlano della difficoltà a dirlo ai genitori.</t>
  </si>
  <si>
    <t xml:space="preserve">Team Pasqua si affida agli adulti; un gruppo lo direbbe ai genitori in caso di sospetto (OSS-22).</t>
  </si>
  <si>
    <t xml:space="preserve">Il problema non è sapere che bisogna parlarne, ma riuscire a farlo: serve un passo intermedio che abbassi il costo emotivo.</t>
  </si>
  <si>
    <t xml:space="preserve">T6. Confronto tra pari e anonimato</t>
  </si>
  <si>
    <t xml:space="preserve">Il forum interessa per sentirsi meno soli e imparare dagli altri, ma pochi scriverebbero la propria esperienza; chi accetta i commenti chiede moderazione.</t>
  </si>
  <si>
    <t xml:space="preserve">TR3 (tutte); OSS-26</t>
  </si>
  <si>
    <t xml:space="preserve">Lettura di esperienze altrui: sì per quasi tutti.</t>
  </si>
  <si>
    <t xml:space="preserve">Scrivere/commentare: da 'non condivideremmo' (BIS) a 'manterremmo commenti se moderati' (PAS, DIV).</t>
  </si>
  <si>
    <t xml:space="preserve">Il valore è soprattutto nel leggere: la partecipazione attiva va resa facoltativa e protetta.</t>
  </si>
  <si>
    <t xml:space="preserve">T7. Deepfake 'per scherzo' tra pari</t>
  </si>
  <si>
    <t xml:space="preserve">La foto modificata con l'IA e girata nel gruppo viene spesso letta come scherzo, anche quando la vittima chiede di toglierla; la gravità viene legata alla diffusione (più gruppi, sconosciuti) e non al danno per la persona.</t>
  </si>
  <si>
    <t xml:space="preserve">OSS-23, OSS-24, OSS-25; CH-DRE-C5.1</t>
  </si>
  <si>
    <t xml:space="preserve">C'è una sensibilità di base: tutti riconoscono che 'dipende' e che a un certo punto diventa grave.</t>
  </si>
  <si>
    <t xml:space="preserve">Da 'non si fa mai' a 'è uno scherzo'.</t>
  </si>
  <si>
    <t xml:space="preserve">Manca un criterio condiviso per capire quando lo scherzo diventa violenza e cosa può fare chi assiste.</t>
  </si>
  <si>
    <t>B8</t>
  </si>
  <si>
    <t xml:space="preserve">T8. Modalità di apprendimento</t>
  </si>
  <si>
    <t xml:space="preserve">L'attività è piaciuta perché attiva (quiz a livelli, chat da analizzare); chiedono ore più interattive e non 'la solita lezione'; un gruppo cita punti, livelli e sfide con gli amici.</t>
  </si>
  <si>
    <t xml:space="preserve">TR1-TON, TR1-DIV, TR1-BIS; TR2-DRE; OSS-27, OSS-28</t>
  </si>
  <si>
    <t xml:space="preserve">Apprezzamento del formato da tutte le squadre che lo commentano.</t>
  </si>
  <si>
    <t xml:space="preserve">Alcuni studenti non hanno preso sul serio l'attività: il gioco coinvolge ma rischia di banalizzare.</t>
  </si>
  <si>
    <t xml:space="preserve">L'elemento di gioco è un requisito sulla modalità (come) più che un bisogno (cosa): va bilanciato con la serietà del tema.</t>
  </si>
  <si>
    <t>B1</t>
  </si>
  <si>
    <t xml:space="preserve">Bisogni consolidati (dettaglio nel documento Word)</t>
  </si>
  <si>
    <t>Origine</t>
  </si>
  <si>
    <t>Stato</t>
  </si>
  <si>
    <t xml:space="preserve">In breve</t>
  </si>
  <si>
    <t xml:space="preserve">Imparare in modo attivo e coinvolgente, non con la solita lezione</t>
  </si>
  <si>
    <t xml:space="preserve">Bisogno 1 (Gamification)</t>
  </si>
  <si>
    <t xml:space="preserve">Confermato, riformulato</t>
  </si>
  <si>
    <t xml:space="preserve">Imparare facendo (sfide, quiz, livelli) invece che ascoltando</t>
  </si>
  <si>
    <t xml:space="preserve">Imparare dalle esperienze dei coetanei sentendosi protetti e meno soli</t>
  </si>
  <si>
    <t xml:space="preserve">Bisogno 2 (Confronto con coetanei e testimonianze anonime)</t>
  </si>
  <si>
    <t xml:space="preserve">Confermato e ampliato</t>
  </si>
  <si>
    <t xml:space="preserve">Leggere esperienze reali di pari, con anonimato e moderazione</t>
  </si>
  <si>
    <t xml:space="preserve">Riconoscere i segnali dell'adescamento, anche quando arrivano poco alla volta</t>
  </si>
  <si>
    <t xml:space="preserve">Bisogno 3 (Conoscenza dei temi e consapevolezza dei rischi)</t>
  </si>
  <si>
    <t xml:space="preserve">Conoscere tecniche e segnali (insistenza, isolamento, cambio app, escalation)</t>
  </si>
  <si>
    <t xml:space="preserve">Avere un'idea realistica di quanto si è capaci di riconoscere un falso</t>
  </si>
  <si>
    <t xml:space="preserve">Bisogno 4 (Più consapevolezza delle proprie capacità)</t>
  </si>
  <si>
    <t>Confermato</t>
  </si>
  <si>
    <t xml:space="preserve">Calibrare la fiducia in sé: i ragazzi si sopravvalutano sui contenuti difficili</t>
  </si>
  <si>
    <t>B5</t>
  </si>
  <si>
    <t xml:space="preserve">Sapere cosa fare e a chi rivolgersi quando qualcosa non va</t>
  </si>
  <si>
    <t xml:space="preserve">Bisogno 5 (Aiuto al supporto e contatti)</t>
  </si>
  <si>
    <t xml:space="preserve">Confermato e precisato</t>
  </si>
  <si>
    <t xml:space="preserve">Passi concreti e canali (amici, adulti, polizia postale) al momento giusto</t>
  </si>
  <si>
    <t xml:space="preserve">Verificare chi c'è davvero dall'altra parte con criteri affidabili</t>
  </si>
  <si>
    <t xml:space="preserve">Nuovo (emerso da Fase 2 e appunti)</t>
  </si>
  <si>
    <t>Nuovo</t>
  </si>
  <si>
    <t xml:space="preserve">I criteri usati (amici in comune, storie, 'lo conosco da un po'') sono facili da falsificare</t>
  </si>
  <si>
    <t>B7</t>
  </si>
  <si>
    <t xml:space="preserve">Poter coinvolgere un adulto di fiducia senza paura di giudizio o di perdere libertà</t>
  </si>
  <si>
    <t xml:space="preserve">Nuovo (emerso da TR4 e Chat 5)</t>
  </si>
  <si>
    <t xml:space="preserve">La barriera verso i genitori è il motivo principale per cui si tace</t>
  </si>
  <si>
    <t xml:space="preserve">Capire quando un contenuto manipolato con l'IA smette di essere uno scherzo</t>
  </si>
  <si>
    <t xml:space="preserve">Nuovo (emerso da Chat 5.1)</t>
  </si>
  <si>
    <t xml:space="preserve">Il deepfake 'per ridere' nel gruppo non viene percepito come violenza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</si>
</sst>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0.0"/>
    <numFmt numFmtId="165" formatCode="\+0%;\-0%;0%"/>
    <numFmt numFmtId="166" formatCode="\+0.0;\-0.0;0.0"/>
  </numFmts>
  <fonts count="16">
    <font>
      <sz val="11.000000"/>
      <color theme="1"/>
      <name val="Calibri"/>
    </font>
    <font>
      <sz val="10.000000"/>
      <name val="Arial"/>
    </font>
    <font>
      <b/>
      <sz val="11.000000"/>
      <color indexed="65"/>
      <name val="Arial"/>
    </font>
    <font>
      <b/>
      <sz val="11.000000"/>
      <name val="Arial"/>
    </font>
    <font>
      <sz val="11.000000"/>
      <name val="Arial"/>
    </font>
    <font>
      <b/>
      <sz val="13.000000"/>
      <name val="Arial"/>
    </font>
    <font>
      <i/>
      <sz val="11.000000"/>
      <color rgb="FF595959"/>
      <name val="Arial"/>
    </font>
    <font>
      <b/>
      <sz val="14.000000"/>
      <color rgb="FF1F3A5F"/>
      <name val="Arial"/>
    </font>
    <font>
      <i/>
      <sz val="10.000000"/>
      <color rgb="FF555555"/>
      <name val="Arial"/>
    </font>
    <font>
      <b/>
      <sz val="12.000000"/>
      <color rgb="FF1F3A5F"/>
      <name val="Arial"/>
    </font>
    <font>
      <b/>
      <sz val="10.000000"/>
      <color indexed="65"/>
      <name val="Arial"/>
    </font>
    <font>
      <b/>
      <sz val="10.000000"/>
      <name val="Arial"/>
    </font>
    <font>
      <i/>
      <sz val="10.000000"/>
      <name val="Arial"/>
    </font>
    <font>
      <sz val="10.000000"/>
      <color indexed="4"/>
      <name val="Arial"/>
    </font>
    <font>
      <sz val="10.000000"/>
      <color rgb="FF888888"/>
      <name val="Arial"/>
    </font>
    <font>
      <i/>
      <sz val="10.000000"/>
      <color rgb="FF666666"/>
      <name val="Arial"/>
    </font>
  </fonts>
  <fills count="8">
    <fill>
      <patternFill patternType="none"/>
    </fill>
    <fill>
      <patternFill patternType="gray125"/>
    </fill>
    <fill>
      <patternFill patternType="solid">
        <fgColor rgb="FF1F4E79"/>
        <bgColor indexed="56"/>
      </patternFill>
    </fill>
    <fill>
      <patternFill patternType="solid">
        <fgColor rgb="FFD9E2F3"/>
        <bgColor indexed="27"/>
      </patternFill>
    </fill>
    <fill>
      <patternFill patternType="solid">
        <fgColor rgb="FF1F3A5F"/>
        <bgColor indexed="62"/>
      </patternFill>
    </fill>
    <fill>
      <patternFill patternType="solid">
        <fgColor rgb="FFE8EEF5"/>
        <bgColor rgb="FFF4F4F2"/>
      </patternFill>
    </fill>
    <fill>
      <patternFill patternType="solid">
        <fgColor rgb="FFF4F4F2"/>
        <bgColor rgb="FFFBEFE3"/>
      </patternFill>
    </fill>
    <fill>
      <patternFill patternType="solid">
        <fgColor rgb="FFFBEFE3"/>
        <bgColor rgb="FFF4F4F2"/>
      </patternFill>
    </fill>
  </fills>
  <borders count="4">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
      <left style="thin">
        <color rgb="FFC9CED6"/>
      </left>
      <right style="thin">
        <color rgb="FFC9CED6"/>
      </right>
      <top style="thin">
        <color rgb="FFC9CED6"/>
      </top>
      <bottom style="thin">
        <color rgb="FFC9CED6"/>
      </bottom>
      <diagonal style="none"/>
    </border>
    <border>
      <left style="thin">
        <color rgb="FFC9CED6"/>
      </left>
      <right style="none"/>
      <top style="thin">
        <color rgb="FFC9CED6"/>
      </top>
      <bottom style="thin">
        <color rgb="FFC9CED6"/>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36">
    <xf fontId="0" fillId="0" borderId="0" numFmtId="0" xfId="0" applyProtection="0">
      <protection hidden="0" locked="1"/>
    </xf>
    <xf fontId="2" fillId="2" borderId="1" numFmtId="0" xfId="0" applyFont="1" applyFill="1" applyBorder="1" applyAlignment="1">
      <alignment vertical="top" wrapText="1"/>
    </xf>
    <xf fontId="3" fillId="0" borderId="1" numFmtId="0" xfId="0" applyFont="1" applyBorder="1" applyAlignment="1">
      <alignment vertical="top" wrapText="1"/>
    </xf>
    <xf fontId="4" fillId="0" borderId="1" numFmtId="0" xfId="0" applyFont="1" applyBorder="1" applyAlignment="1">
      <alignment vertical="top" wrapText="1"/>
    </xf>
    <xf fontId="5" fillId="0" borderId="0" numFmtId="0" xfId="0" applyFont="1"/>
    <xf fontId="6" fillId="0" borderId="0" numFmtId="0" xfId="0" applyFont="1"/>
    <xf fontId="3" fillId="3" borderId="1" numFmtId="0" xfId="0" applyFont="1" applyFill="1" applyBorder="1" applyAlignment="1">
      <alignment vertical="top" wrapText="1"/>
    </xf>
    <xf fontId="7" fillId="0" borderId="0" numFmtId="0" xfId="0" applyFont="1" applyProtection="0">
      <protection hidden="0" locked="1"/>
    </xf>
    <xf fontId="8" fillId="0" borderId="0" numFmtId="0" xfId="0" applyFont="1" applyProtection="0">
      <protection hidden="0" locked="1"/>
    </xf>
    <xf fontId="9" fillId="0" borderId="0" numFmtId="0" xfId="0" applyFont="1" applyProtection="0">
      <protection hidden="0" locked="1"/>
    </xf>
    <xf fontId="10" fillId="4" borderId="2" numFmtId="0" xfId="0" applyFont="1" applyFill="1" applyBorder="1" applyAlignment="1" applyProtection="0">
      <alignment horizontal="center" vertical="center" wrapText="1"/>
      <protection hidden="0" locked="1"/>
    </xf>
    <xf fontId="11" fillId="0" borderId="2" numFmtId="0" xfId="0" applyFont="1" applyBorder="1" applyAlignment="1" applyProtection="0">
      <alignment horizontal="left" vertical="top" wrapText="1"/>
      <protection hidden="0" locked="1"/>
    </xf>
    <xf fontId="1" fillId="0" borderId="2" numFmtId="0" xfId="0" applyFont="1" applyBorder="1" applyAlignment="1" applyProtection="0">
      <alignment horizontal="left" vertical="top" wrapText="1"/>
      <protection hidden="0" locked="1"/>
    </xf>
    <xf fontId="1" fillId="0" borderId="2" numFmtId="0" xfId="0" applyFont="1" applyBorder="1" applyAlignment="1" applyProtection="0">
      <alignment horizontal="center" vertical="top" wrapText="1"/>
      <protection hidden="0" locked="1"/>
    </xf>
    <xf fontId="11" fillId="0" borderId="2" numFmtId="1" xfId="0" applyNumberFormat="1" applyFont="1" applyBorder="1" applyAlignment="1" applyProtection="0">
      <alignment horizontal="center" vertical="top" wrapText="1"/>
      <protection hidden="0" locked="1"/>
    </xf>
    <xf fontId="11" fillId="0" borderId="2" numFmtId="164" xfId="0" applyNumberFormat="1" applyFont="1" applyBorder="1" applyAlignment="1" applyProtection="0">
      <alignment horizontal="center" vertical="top" wrapText="1"/>
      <protection hidden="0" locked="1"/>
    </xf>
    <xf fontId="11" fillId="0" borderId="2" numFmtId="9" xfId="0" applyNumberFormat="1" applyFont="1" applyBorder="1" applyAlignment="1" applyProtection="0">
      <alignment horizontal="center" vertical="top" wrapText="1"/>
      <protection hidden="0" locked="1"/>
    </xf>
    <xf fontId="1" fillId="0" borderId="2" numFmtId="164" xfId="0" applyNumberFormat="1" applyFont="1" applyBorder="1" applyAlignment="1" applyProtection="0">
      <alignment horizontal="center" vertical="top" wrapText="1"/>
      <protection hidden="0" locked="1"/>
    </xf>
    <xf fontId="1" fillId="0" borderId="2" numFmtId="9" xfId="0" applyNumberFormat="1" applyFont="1" applyBorder="1" applyAlignment="1" applyProtection="0">
      <alignment horizontal="center" vertical="top" wrapText="1"/>
      <protection hidden="0" locked="1"/>
    </xf>
    <xf fontId="1" fillId="0" borderId="2" numFmtId="165" xfId="0" applyNumberFormat="1" applyFont="1" applyBorder="1" applyAlignment="1" applyProtection="0">
      <alignment horizontal="center" vertical="top" wrapText="1"/>
      <protection hidden="0" locked="1"/>
    </xf>
    <xf fontId="12" fillId="0" borderId="2" numFmtId="0" xfId="0" applyFont="1" applyBorder="1" applyAlignment="1" applyProtection="0">
      <alignment horizontal="left" vertical="top" wrapText="1"/>
      <protection hidden="0" locked="1"/>
    </xf>
    <xf fontId="12" fillId="0" borderId="3" numFmtId="0" xfId="0" applyFont="1" applyBorder="1" applyAlignment="1" applyProtection="0">
      <alignment horizontal="left" vertical="top" wrapText="1"/>
      <protection hidden="0" locked="1"/>
    </xf>
    <xf fontId="11" fillId="5" borderId="2" numFmtId="0" xfId="0" applyFont="1" applyFill="1" applyBorder="1" applyAlignment="1" applyProtection="0">
      <alignment horizontal="left" vertical="top" wrapText="1"/>
      <protection hidden="0" locked="1"/>
    </xf>
    <xf fontId="1" fillId="0" borderId="3" numFmtId="0" xfId="0" applyFont="1" applyBorder="1" applyAlignment="1" applyProtection="0">
      <alignment horizontal="left" vertical="top" wrapText="1"/>
      <protection hidden="0" locked="1"/>
    </xf>
    <xf fontId="13" fillId="0" borderId="2" numFmtId="0" xfId="0" applyFont="1" applyBorder="1" applyAlignment="1" applyProtection="0">
      <alignment horizontal="center" vertical="top" wrapText="1"/>
      <protection hidden="0" locked="1"/>
    </xf>
    <xf fontId="1" fillId="0" borderId="2" numFmtId="166" xfId="0" applyNumberFormat="1" applyFont="1" applyBorder="1" applyAlignment="1" applyProtection="0">
      <alignment horizontal="center" vertical="top" wrapText="1"/>
      <protection hidden="0" locked="1"/>
    </xf>
    <xf fontId="1" fillId="5" borderId="2" numFmtId="0" xfId="0" applyFont="1" applyFill="1" applyBorder="1" applyAlignment="1" applyProtection="0">
      <alignment horizontal="center" vertical="top" wrapText="1"/>
      <protection hidden="0" locked="1"/>
    </xf>
    <xf fontId="1" fillId="5" borderId="2" numFmtId="164" xfId="0" applyNumberFormat="1" applyFont="1" applyFill="1" applyBorder="1" applyAlignment="1" applyProtection="0">
      <alignment horizontal="center" vertical="top" wrapText="1"/>
      <protection hidden="0" locked="1"/>
    </xf>
    <xf fontId="1" fillId="5" borderId="2" numFmtId="166" xfId="0" applyNumberFormat="1" applyFont="1" applyFill="1" applyBorder="1" applyAlignment="1" applyProtection="0">
      <alignment horizontal="center" vertical="top" wrapText="1"/>
      <protection hidden="0" locked="1"/>
    </xf>
    <xf fontId="14" fillId="0" borderId="2" numFmtId="0" xfId="0" applyFont="1" applyBorder="1" applyAlignment="1" applyProtection="0">
      <alignment horizontal="left" vertical="top" wrapText="1"/>
      <protection hidden="0" locked="1"/>
    </xf>
    <xf fontId="15" fillId="0" borderId="2" numFmtId="0" xfId="0" applyFont="1" applyBorder="1" applyAlignment="1" applyProtection="0">
      <alignment horizontal="left" vertical="top" wrapText="1"/>
      <protection hidden="0" locked="1"/>
    </xf>
    <xf fontId="1" fillId="5" borderId="2" numFmtId="9" xfId="0" applyNumberFormat="1" applyFont="1" applyFill="1" applyBorder="1" applyAlignment="1" applyProtection="0">
      <alignment horizontal="center" vertical="top" wrapText="1"/>
      <protection hidden="0" locked="1"/>
    </xf>
    <xf fontId="11" fillId="0" borderId="2" numFmtId="0" xfId="0" applyFont="1" applyBorder="1" applyAlignment="1" applyProtection="0">
      <alignment horizontal="center" vertical="top" wrapText="1"/>
      <protection hidden="0" locked="1"/>
    </xf>
    <xf fontId="1" fillId="6" borderId="2" numFmtId="0" xfId="0" applyFont="1" applyFill="1" applyBorder="1" applyAlignment="1" applyProtection="0">
      <alignment horizontal="center" vertical="top" wrapText="1"/>
      <protection hidden="0" locked="1"/>
    </xf>
    <xf fontId="1" fillId="5" borderId="2" numFmtId="0" xfId="0" applyFont="1" applyFill="1" applyBorder="1" applyAlignment="1" applyProtection="0">
      <alignment horizontal="left" vertical="top" wrapText="1"/>
      <protection hidden="0" locked="1"/>
    </xf>
    <xf fontId="1" fillId="7" borderId="2" numFmtId="0" xfId="0" applyFont="1" applyFill="1" applyBorder="1" applyAlignment="1" applyProtection="0">
      <alignment horizontal="left" vertical="top"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theme" Target="theme/theme1.xml"/><Relationship  Id="rId17" Type="http://schemas.openxmlformats.org/officeDocument/2006/relationships/sharedStrings" Target="sharedStrings.xml"/><Relationship  Id="rId18"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Accuratezza nel quiz foto per livello</a:t>
            </a:r>
            <a:endParaRPr/>
          </a:p>
        </c:rich>
      </c:tx>
      <c:layout/>
      <c:overlay val="0"/>
      <c:spPr bwMode="auto">
        <a:prstGeom prst="rect">
          <a:avLst/>
        </a:prstGeom>
        <a:noFill/>
        <a:ln w="0">
          <a:noFill/>
        </a:ln>
      </c:spPr>
    </c:title>
    <c:autoTitleDeleted val="0"/>
    <c:plotArea>
      <c:layout/>
      <c:barChart>
        <c:barDir val="col"/>
        <c:grouping val="clustered"/>
        <c:varyColors val="0"/>
        <c:ser>
          <c:idx val="0"/>
          <c:order val="0"/>
          <c:tx>
            <c:strRef>
              <c:f>Sintesi!B26</c:f>
              <c:strCache>
                <c:ptCount val="1"/>
                <c:pt idx="0">
                  <c:v>Accuratezza</c:v>
                </c:pt>
              </c:strCache>
            </c:strRef>
          </c:tx>
          <c:spPr bwMode="auto">
            <a:prstGeom prst="rect">
              <a:avLst/>
            </a:prstGeom>
            <a:solidFill>
              <a:srgbClr val="2A78D6"/>
            </a:solidFill>
            <a:ln w="9360">
              <a:noFill/>
            </a:ln>
          </c:spPr>
          <c:invertIfNegative val="0"/>
          <c:dLbls>
            <c:dLblPos val="outEnd"/>
            <c:separator xml:space="preserve">; </c:separator>
            <c:showBubbleSize val="0"/>
            <c:showCatName val="0"/>
            <c:showLeaderLines val="1"/>
            <c:showLegendKey val="0"/>
            <c:showPercent val="0"/>
            <c:showSerName val="0"/>
            <c:showVal val="1"/>
            <c:txPr>
              <a:bodyPr wrap="square"/>
              <a:lstStyle/>
              <a:p>
                <a:pPr>
                  <a:defRPr sz="1000" b="0" strike="noStrike" spc="-1">
                    <a:solidFill>
                      <a:srgbClr val="000000"/>
                    </a:solidFill>
                    <a:latin typeface="Calibri"/>
                  </a:defRPr>
                </a:pPr>
                <a:endParaRPr/>
              </a:p>
            </c:txPr>
          </c:dLbls>
          <c:cat>
            <c:strRef>
              <c:f>Sintesi!$A$27:$A$31</c:f>
              <c:strCache>
                <c:ptCount val="5"/>
                <c:pt idx="0">
                  <c:v>Livello 0</c:v>
                </c:pt>
                <c:pt idx="1">
                  <c:v>Livello 1</c:v>
                </c:pt>
                <c:pt idx="2">
                  <c:v>Livello 2</c:v>
                </c:pt>
                <c:pt idx="3">
                  <c:v>Livello 3</c:v>
                </c:pt>
                <c:pt idx="4">
                  <c:v>Livello 4</c:v>
                </c:pt>
              </c:strCache>
            </c:strRef>
          </c:cat>
          <c:val>
            <c:numRef>
              <c:f>Sintesi!$B$27:$B$31</c:f>
              <c:numCache>
                <c:formatCode>0%</c:formatCode>
                <c:ptCount val="5"/>
                <c:pt idx="0">
                  <c:v>1</c:v>
                </c:pt>
                <c:pt idx="1">
                  <c:v>0.866666666666667</c:v>
                </c:pt>
                <c:pt idx="2">
                  <c:v>0.8</c:v>
                </c:pt>
                <c:pt idx="3">
                  <c:v>0.857142857142857</c:v>
                </c:pt>
                <c:pt idx="4">
                  <c:v>0.526315789473684</c:v>
                </c:pt>
              </c:numCache>
            </c:numRef>
          </c:val>
        </c:ser>
        <c:dLbls>
          <c:showBubbleSize val="0"/>
          <c:showCatName val="0"/>
          <c:showLegendKey val="0"/>
          <c:showPercent val="0"/>
          <c:showSerName val="0"/>
          <c:showVal val="0"/>
        </c:dLbls>
        <c:gapWidth val="150"/>
        <c:overlap val="0"/>
        <c:axId val="16636149"/>
        <c:axId val="45660854"/>
      </c:barChart>
      <c:catAx>
        <c:axId val="16636149"/>
        <c:scaling>
          <c:orientation val="minMax"/>
        </c:scaling>
        <c:delete val="0"/>
        <c:axPos val="b"/>
        <c:numFmt formatCode="General" sourceLinked="1"/>
        <c:majorTickMark val="none"/>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defRPr>
            </a:pPr>
            <a:endParaRPr/>
          </a:p>
        </c:txPr>
        <c:crossAx val="45660854"/>
        <c:crosses val="autoZero"/>
        <c:auto val="1"/>
        <c:lblAlgn val="ctr"/>
        <c:lblOffset val="100"/>
        <c:noMultiLvlLbl val="0"/>
      </c:catAx>
      <c:valAx>
        <c:axId val="45660854"/>
        <c:scaling>
          <c:orientation val="minMax"/>
          <c:max val="1.000000"/>
          <c:min val="0.000000"/>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Risposte corrette</a:t>
                </a:r>
                <a:endParaRPr/>
              </a:p>
            </c:rich>
          </c:tx>
          <c:layout/>
          <c:overlay val="0"/>
          <c:spPr bwMode="auto">
            <a:prstGeom prst="rect">
              <a:avLst/>
            </a:prstGeom>
            <a:noFill/>
            <a:ln w="0">
              <a:noFill/>
            </a:ln>
          </c:spPr>
        </c:title>
        <c:numFmt formatCode="0%" sourceLinked="0"/>
        <c:majorTickMark val="none"/>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defRPr>
            </a:pPr>
            <a:endParaRPr/>
          </a:p>
        </c:txPr>
        <c:crossAx val="16636149"/>
        <c:crosses val="autoZero"/>
        <c:crossBetween val="between"/>
      </c:valAx>
      <c:spPr bwMode="auto">
        <a:prstGeom prst="rect">
          <a:avLst/>
        </a:prstGeom>
        <a:noFill/>
        <a:ln w="0">
          <a:noFill/>
        </a:ln>
      </c:spPr>
    </c:plotArea>
    <c:plotVisOnly val="1"/>
    <c:dispBlanksAs val="gap"/>
    <c:showDLblsOverMax val="0"/>
  </c:chart>
  <c:spPr bwMode="auto">
    <a:xfrm rot="0">
      <a:off x="9915480" y="571680"/>
      <a:ext cx="5759640" cy="2699640"/>
    </a:xfrm>
    <a:prstGeom prst="rect">
      <a:avLst/>
    </a:prstGeom>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Autovalutazione vs accuratezza reale (quiz foto)</a:t>
            </a:r>
            <a:endParaRPr/>
          </a:p>
        </c:rich>
      </c:tx>
      <c:layout/>
      <c:overlay val="0"/>
      <c:spPr bwMode="auto">
        <a:prstGeom prst="rect">
          <a:avLst/>
        </a:prstGeom>
        <a:noFill/>
        <a:ln w="0">
          <a:noFill/>
        </a:ln>
      </c:spPr>
    </c:title>
    <c:autoTitleDeleted val="0"/>
    <c:plotArea>
      <c:layout/>
      <c:barChart>
        <c:barDir val="col"/>
        <c:grouping val="clustered"/>
        <c:varyColors val="0"/>
        <c:ser>
          <c:idx val="0"/>
          <c:order val="0"/>
          <c:tx>
            <c:strRef>
              <c:f>Sintesi!C17</c:f>
              <c:strCache>
                <c:ptCount val="1"/>
                <c:pt idx="0">
                  <c:v>Autovalutazione in %</c:v>
                </c:pt>
              </c:strCache>
            </c:strRef>
          </c:tx>
          <c:spPr bwMode="auto">
            <a:prstGeom prst="rect">
              <a:avLst/>
            </a:prstGeom>
            <a:solidFill>
              <a:srgbClr val="2A78D6"/>
            </a:solidFill>
            <a:ln w="9360">
              <a:noFill/>
            </a:ln>
          </c:spPr>
          <c:invertIfNegative val="0"/>
          <c:dLbls>
            <c:separator xml:space="preserve"> </c:separator>
            <c:showBubbleSize val="0"/>
            <c:showCatName val="0"/>
            <c:showLeaderLines val="1"/>
            <c:showLegendKey val="0"/>
            <c:showPercent val="0"/>
            <c:showSerName val="0"/>
            <c:showVal val="0"/>
            <c:txPr>
              <a:bodyPr wrap="none"/>
              <a:lstStyle/>
              <a:p>
                <a:pPr>
                  <a:defRPr sz="1000" b="0" strike="noStrike" spc="-1">
                    <a:latin typeface="Arial"/>
                  </a:defRPr>
                </a:pPr>
                <a:endParaRPr/>
              </a:p>
            </c:txPr>
          </c:dLbls>
          <c:cat>
            <c:strRef>
              <c:f>Sintesi!$A$18:$A$22</c:f>
              <c:strCache>
                <c:ptCount val="5"/>
                <c:pt idx="0">
                  <c:v>Tontony</c:v>
                </c:pt>
                <c:pt idx="1">
                  <c:v>Divo</c:v>
                </c:pt>
                <c:pt idx="2">
                  <c:v>Biscotto</c:v>
                </c:pt>
                <c:pt idx="3">
                  <c:v>Team Pasqua</c:v>
                </c:pt>
                <c:pt idx="4">
                  <c:v>Dream Team</c:v>
                </c:pt>
              </c:strCache>
            </c:strRef>
          </c:cat>
          <c:val>
            <c:numRef>
              <c:f>Sintesi!$C$18:$C$22</c:f>
              <c:numCache>
                <c:formatCode>0%</c:formatCode>
                <c:ptCount val="5"/>
                <c:pt idx="0">
                  <c:v>0.68</c:v>
                </c:pt>
                <c:pt idx="1">
                  <c:v>0.7</c:v>
                </c:pt>
                <c:pt idx="2">
                  <c:v>0.65</c:v>
                </c:pt>
                <c:pt idx="3">
                  <c:v>0.6</c:v>
                </c:pt>
                <c:pt idx="4">
                  <c:v>0.675</c:v>
                </c:pt>
              </c:numCache>
            </c:numRef>
          </c:val>
        </c:ser>
        <c:ser>
          <c:idx val="1"/>
          <c:order val="1"/>
          <c:tx>
            <c:strRef>
              <c:f>Sintesi!D17</c:f>
              <c:strCache>
                <c:ptCount val="1"/>
                <c:pt idx="0">
                  <c:v>Accuratezza quiz (tutti i livelli)</c:v>
                </c:pt>
              </c:strCache>
            </c:strRef>
          </c:tx>
          <c:spPr bwMode="auto">
            <a:prstGeom prst="rect">
              <a:avLst/>
            </a:prstGeom>
            <a:solidFill>
              <a:srgbClr val="EB6834"/>
            </a:solidFill>
            <a:ln w="9360">
              <a:noFill/>
            </a:ln>
          </c:spPr>
          <c:invertIfNegative val="0"/>
          <c:dLbls>
            <c:separator xml:space="preserve"> </c:separator>
            <c:showBubbleSize val="0"/>
            <c:showCatName val="0"/>
            <c:showLeaderLines val="1"/>
            <c:showLegendKey val="0"/>
            <c:showPercent val="0"/>
            <c:showSerName val="0"/>
            <c:showVal val="0"/>
            <c:txPr>
              <a:bodyPr wrap="none"/>
              <a:lstStyle/>
              <a:p>
                <a:pPr>
                  <a:defRPr sz="1000" b="0" strike="noStrike" spc="-1">
                    <a:latin typeface="Arial"/>
                  </a:defRPr>
                </a:pPr>
                <a:endParaRPr/>
              </a:p>
            </c:txPr>
          </c:dLbls>
          <c:cat>
            <c:strRef>
              <c:f>Sintesi!$A$18:$A$22</c:f>
              <c:strCache>
                <c:ptCount val="5"/>
                <c:pt idx="0">
                  <c:v>Tontony</c:v>
                </c:pt>
                <c:pt idx="1">
                  <c:v>Divo</c:v>
                </c:pt>
                <c:pt idx="2">
                  <c:v>Biscotto</c:v>
                </c:pt>
                <c:pt idx="3">
                  <c:v>Team Pasqua</c:v>
                </c:pt>
                <c:pt idx="4">
                  <c:v>Dream Team</c:v>
                </c:pt>
              </c:strCache>
            </c:strRef>
          </c:cat>
          <c:val>
            <c:numRef>
              <c:f>Sintesi!$D$18:$D$22</c:f>
              <c:numCache>
                <c:formatCode>0%</c:formatCode>
                <c:ptCount val="5"/>
                <c:pt idx="0">
                  <c:v>0.866666666666667</c:v>
                </c:pt>
                <c:pt idx="1">
                  <c:v>0.8125</c:v>
                </c:pt>
                <c:pt idx="2">
                  <c:v>0.6875</c:v>
                </c:pt>
                <c:pt idx="3">
                  <c:v>0.8125</c:v>
                </c:pt>
                <c:pt idx="4">
                  <c:v>0.8</c:v>
                </c:pt>
              </c:numCache>
            </c:numRef>
          </c:val>
        </c:ser>
        <c:ser>
          <c:idx val="2"/>
          <c:order val="2"/>
          <c:tx>
            <c:strRef>
              <c:f>Sintesi!E17</c:f>
              <c:strCache>
                <c:ptCount val="1"/>
                <c:pt idx="0">
                  <c:v>Accuratezza livello 4</c:v>
                </c:pt>
              </c:strCache>
            </c:strRef>
          </c:tx>
          <c:spPr bwMode="auto">
            <a:prstGeom prst="rect">
              <a:avLst/>
            </a:prstGeom>
            <a:solidFill>
              <a:srgbClr val="1BAF7A"/>
            </a:solidFill>
            <a:ln w="9360">
              <a:noFill/>
            </a:ln>
          </c:spPr>
          <c:invertIfNegative val="0"/>
          <c:dLbls>
            <c:separator xml:space="preserve"> </c:separator>
            <c:showBubbleSize val="0"/>
            <c:showCatName val="0"/>
            <c:showLeaderLines val="1"/>
            <c:showLegendKey val="0"/>
            <c:showPercent val="0"/>
            <c:showSerName val="0"/>
            <c:showVal val="0"/>
            <c:txPr>
              <a:bodyPr wrap="none"/>
              <a:lstStyle/>
              <a:p>
                <a:pPr>
                  <a:defRPr sz="1000" b="0" strike="noStrike" spc="-1">
                    <a:latin typeface="Arial"/>
                  </a:defRPr>
                </a:pPr>
                <a:endParaRPr/>
              </a:p>
            </c:txPr>
          </c:dLbls>
          <c:cat>
            <c:strRef>
              <c:f>Sintesi!$A$18:$A$22</c:f>
              <c:strCache>
                <c:ptCount val="5"/>
                <c:pt idx="0">
                  <c:v>Tontony</c:v>
                </c:pt>
                <c:pt idx="1">
                  <c:v>Divo</c:v>
                </c:pt>
                <c:pt idx="2">
                  <c:v>Biscotto</c:v>
                </c:pt>
                <c:pt idx="3">
                  <c:v>Team Pasqua</c:v>
                </c:pt>
                <c:pt idx="4">
                  <c:v>Dream Team</c:v>
                </c:pt>
              </c:strCache>
            </c:strRef>
          </c:cat>
          <c:val>
            <c:numRef>
              <c:f>Sintesi!$E$18:$E$22</c:f>
              <c:numCache>
                <c:formatCode>0%</c:formatCode>
                <c:ptCount val="5"/>
                <c:pt idx="0">
                  <c:v>0.666666666666667</c:v>
                </c:pt>
                <c:pt idx="1">
                  <c:v>0.5</c:v>
                </c:pt>
                <c:pt idx="2">
                  <c:v>0.25</c:v>
                </c:pt>
                <c:pt idx="3">
                  <c:v>0.75</c:v>
                </c:pt>
                <c:pt idx="4">
                  <c:v>0.5</c:v>
                </c:pt>
              </c:numCache>
            </c:numRef>
          </c:val>
        </c:ser>
        <c:dLbls>
          <c:showBubbleSize val="0"/>
          <c:showCatName val="0"/>
          <c:showLegendKey val="0"/>
          <c:showPercent val="0"/>
          <c:showSerName val="0"/>
          <c:showVal val="0"/>
        </c:dLbls>
        <c:gapWidth val="150"/>
        <c:overlap val="0"/>
        <c:axId val="91611279"/>
        <c:axId val="21482754"/>
      </c:barChart>
      <c:catAx>
        <c:axId val="91611279"/>
        <c:scaling>
          <c:orientation val="minMax"/>
        </c:scaling>
        <c:delete val="0"/>
        <c:axPos val="b"/>
        <c:numFmt formatCode="General" sourceLinked="1"/>
        <c:majorTickMark val="none"/>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defRPr>
            </a:pPr>
            <a:endParaRPr/>
          </a:p>
        </c:txPr>
        <c:crossAx val="21482754"/>
        <c:crosses val="autoZero"/>
        <c:auto val="1"/>
        <c:lblAlgn val="ctr"/>
        <c:lblOffset val="100"/>
        <c:noMultiLvlLbl val="0"/>
      </c:catAx>
      <c:valAx>
        <c:axId val="21482754"/>
        <c:scaling>
          <c:orientation val="minMax"/>
          <c:max val="1.000000"/>
          <c:min val="0.000000"/>
        </c:scaling>
        <c:delete val="0"/>
        <c:axPos val="l"/>
        <c:numFmt formatCode="0%" sourceLinked="0"/>
        <c:majorTickMark val="none"/>
        <c:minorTickMark val="none"/>
        <c:tickLblPos val="nextTo"/>
        <c:spPr bwMode="auto">
          <a:prstGeom prst="rect">
            <a:avLst/>
          </a:prstGeom>
          <a:ln w="9360">
            <a:solidFill>
              <a:srgbClr val="878787"/>
            </a:solidFill>
            <a:round/>
          </a:ln>
        </c:spPr>
        <c:txPr>
          <a:bodyPr/>
          <a:lstStyle/>
          <a:p>
            <a:pPr>
              <a:defRPr sz="1000" b="0" strike="noStrike" spc="-1">
                <a:solidFill>
                  <a:srgbClr val="000000"/>
                </a:solidFill>
                <a:latin typeface="Calibri"/>
              </a:defRPr>
            </a:pPr>
            <a:endParaRPr/>
          </a:p>
        </c:txPr>
        <c:crossAx val="91611279"/>
        <c:crosses val="autoZero"/>
        <c:crossBetween val="between"/>
      </c:valAx>
      <c:spPr bwMode="auto">
        <a:prstGeom prst="rect">
          <a:avLst/>
        </a:prstGeom>
        <a:noFill/>
        <a:ln w="0">
          <a:noFill/>
        </a:ln>
      </c:spPr>
    </c:plotArea>
    <c:legend>
      <c:legendPos val="b"/>
      <c:layout/>
      <c:overlay val="0"/>
      <c:spPr bwMode="auto">
        <a:prstGeom prst="rect">
          <a:avLst/>
        </a:prstGeom>
        <a:noFill/>
        <a:ln w="0">
          <a:noFill/>
        </a:ln>
      </c:spPr>
      <c:txPr>
        <a:bodyPr/>
        <a:lstStyle/>
        <a:p>
          <a:pPr>
            <a:defRPr sz="1000" b="0" strike="noStrike" spc="-1">
              <a:solidFill>
                <a:srgbClr val="000000"/>
              </a:solidFill>
              <a:latin typeface="Calibri"/>
            </a:defRPr>
          </a:pPr>
          <a:endParaRPr/>
        </a:p>
      </c:txPr>
    </c:legend>
    <c:plotVisOnly val="1"/>
    <c:dispBlanksAs val="gap"/>
    <c:showDLblsOverMax val="0"/>
  </c:chart>
  <c:spPr bwMode="auto">
    <a:xfrm rot="0">
      <a:off x="9915480" y="3619440"/>
      <a:ext cx="5759640" cy="2699640"/>
    </a:xfrm>
    <a:prstGeom prst="rect">
      <a:avLst/>
    </a:prstGeom>
    <a:solidFill>
      <a:srgbClr val="FFFFFF"/>
    </a:solidFill>
    <a:ln w="9360">
      <a:solidFill>
        <a:srgbClr val="D9D9D9"/>
      </a:solidFill>
      <a:round/>
    </a:ln>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7</xdr:col>
      <xdr:colOff>0</xdr:colOff>
      <xdr:row>2</xdr:row>
      <xdr:rowOff>160920</xdr:rowOff>
    </xdr:from>
    <xdr:to>
      <xdr:col>16</xdr:col>
      <xdr:colOff>255959</xdr:colOff>
      <xdr:row>16</xdr:row>
      <xdr:rowOff>80999</xdr:rowOff>
    </xdr:to>
    <xdr:graphicFrame>
      <xdr:nvGraphicFramePr>
        <xdr:cNvPr id="0" name="Chart 1"/>
        <xdr:cNvGraphicFramePr>
          <a:graphicFrameLocks xmlns:a="http://schemas.openxmlformats.org/drawingml/2006/main"/>
        </xdr:cNvGraphicFramePr>
      </xdr:nvGraphicFramePr>
      <xdr:xfrm rot="0">
        <a:off x="9915480" y="571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126360</xdr:rowOff>
    </xdr:from>
    <xdr:to>
      <xdr:col>16</xdr:col>
      <xdr:colOff>255959</xdr:colOff>
      <xdr:row>28</xdr:row>
      <xdr:rowOff>75239</xdr:rowOff>
    </xdr:to>
    <xdr:graphicFrame>
      <xdr:nvGraphicFramePr>
        <xdr:cNvPr id="1" name="Chart 2"/>
        <xdr:cNvGraphicFramePr>
          <a:graphicFrameLocks xmlns:a="http://schemas.openxmlformats.org/drawingml/2006/main"/>
        </xdr:cNvGraphicFramePr>
      </xdr:nvGraphicFramePr>
      <xdr:xfrm rot="0">
        <a:off x="9915480" y="361944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Unknown Author" id="{E9110EAA-D4A8-B043-704D-A868A24529D1}"/>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B7" personId="{E9110EAA-D4A8-B043-704D-A868A24529D1}" id="{32149E9D-DDD6-4AF1-8181-173ECF86128B}" done="0">
    <text xml:space="preserve">Tontony a Chat 3 segna sia Si sia Non sappiamo
</text>
  </threadedComment>
</ThreadedComments>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1" topLeftCell="A2" activePane="bottomLeft" state="frozen"/>
      <selection activeCell="A1" activeCellId="0" sqref="A1"/>
    </sheetView>
  </sheetViews>
  <sheetFormatPr defaultColWidth="8.7109375" defaultRowHeight="14.25"/>
  <cols>
    <col customWidth="1" min="1" max="1" width="7"/>
    <col customWidth="1" min="2" max="2" width="30"/>
    <col customWidth="1" min="3" max="3" width="75.5703125"/>
    <col customWidth="1" min="4" max="4" width="24"/>
    <col customWidth="1" min="5" max="5" width="22"/>
    <col customWidth="1" min="6" max="7" width="48"/>
    <col customWidth="1" min="8" max="8" width="9"/>
  </cols>
  <sheetData>
    <row r="1">
      <c r="A1" s="1" t="s">
        <v>0</v>
      </c>
      <c r="B1" s="1" t="s">
        <v>1</v>
      </c>
      <c r="C1" s="1" t="s">
        <v>2</v>
      </c>
      <c r="D1" s="1" t="s">
        <v>3</v>
      </c>
      <c r="E1" s="1" t="s">
        <v>4</v>
      </c>
      <c r="F1" s="1" t="s">
        <v>5</v>
      </c>
      <c r="G1" s="1" t="s">
        <v>6</v>
      </c>
      <c r="H1" s="1" t="s">
        <v>7</v>
      </c>
    </row>
    <row r="2" ht="57">
      <c r="A2" s="2" t="s">
        <v>8</v>
      </c>
      <c r="B2" s="3" t="s">
        <v>9</v>
      </c>
      <c r="C2" s="3" t="s">
        <v>10</v>
      </c>
      <c r="D2" s="3" t="s">
        <v>11</v>
      </c>
      <c r="E2" s="3" t="s">
        <v>12</v>
      </c>
      <c r="F2" s="3" t="s">
        <v>13</v>
      </c>
      <c r="G2" s="3" t="s">
        <v>14</v>
      </c>
      <c r="H2" s="3" t="e">
        <f>COUNTIF(Fatti!$G:$G,A2)</f>
        <v>#NAME?</v>
      </c>
    </row>
    <row r="3" ht="71.25">
      <c r="A3" s="2" t="s">
        <v>15</v>
      </c>
      <c r="B3" s="3" t="s">
        <v>16</v>
      </c>
      <c r="C3" s="3" t="s">
        <v>17</v>
      </c>
      <c r="D3" s="3" t="s">
        <v>18</v>
      </c>
      <c r="E3" s="3" t="s">
        <v>19</v>
      </c>
      <c r="F3" s="3" t="s">
        <v>20</v>
      </c>
      <c r="G3" s="3" t="s">
        <v>21</v>
      </c>
      <c r="H3" s="3" t="e">
        <f>COUNTIF(Fatti!$G:$G,A3)</f>
        <v>#NAME?</v>
      </c>
    </row>
    <row r="4" ht="114">
      <c r="A4" s="2" t="s">
        <v>22</v>
      </c>
      <c r="B4" s="3" t="s">
        <v>23</v>
      </c>
      <c r="C4" s="3" t="s">
        <v>24</v>
      </c>
      <c r="D4" s="3" t="s">
        <v>25</v>
      </c>
      <c r="E4" s="3" t="s">
        <v>26</v>
      </c>
      <c r="F4" s="3" t="s">
        <v>27</v>
      </c>
      <c r="G4" s="3" t="s">
        <v>28</v>
      </c>
      <c r="H4" s="3" t="e">
        <f>COUNTIF(Fatti!$G:$G,A4)</f>
        <v>#NAME?</v>
      </c>
    </row>
    <row r="5" ht="71.25">
      <c r="A5" s="2" t="s">
        <v>29</v>
      </c>
      <c r="B5" s="3" t="s">
        <v>30</v>
      </c>
      <c r="C5" s="3" t="s">
        <v>31</v>
      </c>
      <c r="D5" s="3" t="s">
        <v>32</v>
      </c>
      <c r="E5" s="3" t="s">
        <v>12</v>
      </c>
      <c r="F5" s="3" t="s">
        <v>33</v>
      </c>
      <c r="G5" s="3" t="s">
        <v>34</v>
      </c>
      <c r="H5" s="3" t="e">
        <f>COUNTIF(Fatti!$G:$G,A5)</f>
        <v>#NAME?</v>
      </c>
    </row>
    <row r="6" ht="85.5">
      <c r="A6" s="2" t="s">
        <v>35</v>
      </c>
      <c r="B6" s="3" t="s">
        <v>36</v>
      </c>
      <c r="C6" s="3" t="s">
        <v>37</v>
      </c>
      <c r="D6" s="3" t="s">
        <v>38</v>
      </c>
      <c r="E6" s="3" t="s">
        <v>39</v>
      </c>
      <c r="F6" s="3" t="s">
        <v>40</v>
      </c>
      <c r="G6" s="3" t="s">
        <v>41</v>
      </c>
      <c r="H6" s="3" t="e">
        <f>COUNTIF(Fatti!$G:$G,A6)</f>
        <v>#NAME?</v>
      </c>
    </row>
    <row r="7" ht="114">
      <c r="A7" s="2" t="s">
        <v>42</v>
      </c>
      <c r="B7" s="3" t="s">
        <v>43</v>
      </c>
      <c r="C7" s="3" t="s">
        <v>44</v>
      </c>
      <c r="D7" s="3" t="s">
        <v>45</v>
      </c>
      <c r="E7" s="3" t="s">
        <v>46</v>
      </c>
      <c r="F7" s="3" t="s">
        <v>47</v>
      </c>
      <c r="G7" s="3" t="s">
        <v>48</v>
      </c>
      <c r="H7" s="3" t="e">
        <f>COUNTIF(Fatti!$G:$G,A7)</f>
        <v>#NAME?</v>
      </c>
    </row>
    <row r="8" ht="71.25">
      <c r="A8" s="2" t="s">
        <v>49</v>
      </c>
      <c r="B8" s="3" t="s">
        <v>50</v>
      </c>
      <c r="C8" s="3" t="s">
        <v>51</v>
      </c>
      <c r="D8" s="3" t="s">
        <v>52</v>
      </c>
      <c r="E8" s="3" t="s">
        <v>53</v>
      </c>
      <c r="F8" s="3" t="s">
        <v>54</v>
      </c>
      <c r="G8" s="3" t="s">
        <v>55</v>
      </c>
      <c r="H8" s="3" t="e">
        <f>COUNTIF(Fatti!$G:$G,A8)</f>
        <v>#NAME?</v>
      </c>
    </row>
    <row r="9" ht="85.5">
      <c r="A9" s="2" t="s">
        <v>56</v>
      </c>
      <c r="B9" s="3" t="s">
        <v>57</v>
      </c>
      <c r="C9" s="3" t="s">
        <v>58</v>
      </c>
      <c r="D9" s="3" t="s">
        <v>59</v>
      </c>
      <c r="E9" s="3" t="s">
        <v>60</v>
      </c>
      <c r="F9" s="3" t="s">
        <v>61</v>
      </c>
      <c r="G9" s="3" t="s">
        <v>62</v>
      </c>
      <c r="H9" s="3" t="e">
        <f>COUNTIF(Fatti!$G:$G,A9)</f>
        <v>#NAME?</v>
      </c>
    </row>
    <row r="10" ht="42.75">
      <c r="A10" s="2" t="s">
        <v>63</v>
      </c>
      <c r="B10" s="3" t="s">
        <v>64</v>
      </c>
      <c r="C10" s="3" t="s">
        <v>65</v>
      </c>
      <c r="D10" s="3" t="s">
        <v>66</v>
      </c>
      <c r="E10" s="3" t="s">
        <v>67</v>
      </c>
      <c r="F10" s="3" t="s">
        <v>68</v>
      </c>
      <c r="G10" s="3" t="s">
        <v>69</v>
      </c>
      <c r="H10" s="3" t="e">
        <f>COUNTIF(Fatti!$G:$G,A10)</f>
        <v>#NAME?</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4" topLeftCell="A5" activePane="bottomLeft" state="frozen"/>
      <selection activeCell="I61" activeCellId="0" sqref="I61"/>
    </sheetView>
  </sheetViews>
  <sheetFormatPr defaultColWidth="8.7109375" defaultRowHeight="14.25"/>
  <cols>
    <col customWidth="1" min="1" max="1" width="7"/>
    <col customWidth="1" min="2" max="2" width="24"/>
    <col customWidth="1" min="3" max="3" width="22"/>
    <col customWidth="1" min="4" max="4" width="24"/>
    <col customWidth="1" min="5" max="5" width="80"/>
    <col customWidth="1" min="6" max="6" width="18"/>
    <col customWidth="1" min="7" max="7" width="10"/>
    <col customWidth="1" min="8" max="8" width="34"/>
    <col customWidth="1" min="9" max="9" width="31.140625"/>
  </cols>
  <sheetData>
    <row r="1" ht="15.75">
      <c r="A1" s="4" t="s">
        <v>70</v>
      </c>
    </row>
    <row r="2">
      <c r="A2" s="5" t="s">
        <v>71</v>
      </c>
    </row>
    <row r="4" ht="28.5">
      <c r="A4" s="1" t="s">
        <v>72</v>
      </c>
      <c r="B4" s="1" t="s">
        <v>73</v>
      </c>
      <c r="C4" s="1" t="s">
        <v>74</v>
      </c>
      <c r="D4" s="1" t="s">
        <v>75</v>
      </c>
      <c r="E4" s="1" t="s">
        <v>76</v>
      </c>
      <c r="F4" s="1" t="s">
        <v>77</v>
      </c>
      <c r="G4" s="1" t="s">
        <v>1</v>
      </c>
      <c r="H4" s="1" t="s">
        <v>78</v>
      </c>
      <c r="I4" t="s">
        <v>79</v>
      </c>
    </row>
    <row r="5" ht="28.5">
      <c r="A5" s="3" t="s">
        <v>80</v>
      </c>
      <c r="B5" s="3" t="s">
        <v>81</v>
      </c>
      <c r="C5" s="3" t="s">
        <v>82</v>
      </c>
      <c r="D5" s="3" t="s">
        <v>83</v>
      </c>
      <c r="E5" s="3" t="s">
        <v>84</v>
      </c>
      <c r="F5" s="3"/>
      <c r="G5" s="3" t="s">
        <v>8</v>
      </c>
      <c r="H5" s="3" t="str">
        <f>IFERROR(INDEX(Pattern!$B:$B,MATCH(G5,Pattern!$A:$A,0)),"")</f>
        <v xml:space="preserve">Abitudini online e contatti con sconosciuti</v>
      </c>
    </row>
    <row r="6" ht="28.5">
      <c r="A6" s="3" t="s">
        <v>85</v>
      </c>
      <c r="B6" s="3" t="s">
        <v>81</v>
      </c>
      <c r="C6" s="3" t="s">
        <v>86</v>
      </c>
      <c r="D6" s="3" t="s">
        <v>83</v>
      </c>
      <c r="E6" s="3" t="s">
        <v>87</v>
      </c>
      <c r="F6" s="3"/>
      <c r="G6" s="3" t="s">
        <v>8</v>
      </c>
      <c r="H6" s="3" t="str">
        <f>IFERROR(INDEX(Pattern!$B:$B,MATCH(G6,Pattern!$A:$A,0)),"")</f>
        <v xml:space="preserve">Abitudini online e contatti con sconosciuti</v>
      </c>
    </row>
    <row r="7" ht="28.5">
      <c r="A7" s="3" t="s">
        <v>88</v>
      </c>
      <c r="B7" s="3" t="s">
        <v>81</v>
      </c>
      <c r="C7" s="3" t="s">
        <v>89</v>
      </c>
      <c r="D7" s="3" t="s">
        <v>90</v>
      </c>
      <c r="E7" s="3" t="s">
        <v>91</v>
      </c>
      <c r="F7" s="3"/>
      <c r="G7" s="3" t="s">
        <v>8</v>
      </c>
      <c r="H7" s="3" t="str">
        <f>IFERROR(INDEX(Pattern!$B:$B,MATCH(G7,Pattern!$A:$A,0)),"")</f>
        <v xml:space="preserve">Abitudini online e contatti con sconosciuti</v>
      </c>
    </row>
    <row r="8" ht="28.5">
      <c r="A8" s="3" t="s">
        <v>92</v>
      </c>
      <c r="B8" s="3" t="s">
        <v>81</v>
      </c>
      <c r="C8" s="3" t="s">
        <v>89</v>
      </c>
      <c r="D8" s="3" t="s">
        <v>90</v>
      </c>
      <c r="E8" s="3" t="s">
        <v>93</v>
      </c>
      <c r="F8" s="3"/>
      <c r="G8" s="3" t="s">
        <v>8</v>
      </c>
      <c r="H8" s="3" t="str">
        <f>IFERROR(INDEX(Pattern!$B:$B,MATCH(G8,Pattern!$A:$A,0)),"")</f>
        <v xml:space="preserve">Abitudini online e contatti con sconosciuti</v>
      </c>
    </row>
    <row r="9" ht="28.5">
      <c r="A9" s="3" t="s">
        <v>94</v>
      </c>
      <c r="B9" s="3" t="s">
        <v>81</v>
      </c>
      <c r="C9" s="3" t="s">
        <v>95</v>
      </c>
      <c r="D9" s="3" t="s">
        <v>96</v>
      </c>
      <c r="E9" s="3" t="s">
        <v>97</v>
      </c>
      <c r="F9" s="3"/>
      <c r="G9" s="3" t="s">
        <v>15</v>
      </c>
      <c r="H9" s="3" t="str">
        <f>IFERROR(INDEX(Pattern!$B:$B,MATCH(G9,Pattern!$A:$A,0)),"")</f>
        <v xml:space="preserve">Come valutano se un profilo è affidabile</v>
      </c>
    </row>
    <row r="10" ht="28.5">
      <c r="A10" s="3" t="s">
        <v>98</v>
      </c>
      <c r="B10" s="3" t="s">
        <v>81</v>
      </c>
      <c r="C10" s="3" t="s">
        <v>99</v>
      </c>
      <c r="D10" s="3" t="s">
        <v>96</v>
      </c>
      <c r="E10" s="3" t="s">
        <v>100</v>
      </c>
      <c r="F10" s="3"/>
      <c r="G10" s="3" t="s">
        <v>8</v>
      </c>
      <c r="H10" s="3" t="str">
        <f>IFERROR(INDEX(Pattern!$B:$B,MATCH(G10,Pattern!$A:$A,0)),"")</f>
        <v xml:space="preserve">Abitudini online e contatti con sconosciuti</v>
      </c>
    </row>
    <row r="11" ht="28.5">
      <c r="A11" s="3" t="s">
        <v>101</v>
      </c>
      <c r="B11" s="3" t="s">
        <v>81</v>
      </c>
      <c r="C11" s="3" t="s">
        <v>102</v>
      </c>
      <c r="D11" s="3" t="s">
        <v>96</v>
      </c>
      <c r="E11" s="3" t="s">
        <v>103</v>
      </c>
      <c r="F11" s="3"/>
      <c r="G11" s="3" t="s">
        <v>8</v>
      </c>
      <c r="H11" s="3" t="str">
        <f>IFERROR(INDEX(Pattern!$B:$B,MATCH(G11,Pattern!$A:$A,0)),"")</f>
        <v xml:space="preserve">Abitudini online e contatti con sconosciuti</v>
      </c>
    </row>
    <row r="12" ht="42.75">
      <c r="A12" s="3" t="s">
        <v>104</v>
      </c>
      <c r="B12" s="3" t="s">
        <v>81</v>
      </c>
      <c r="C12" s="3" t="s">
        <v>86</v>
      </c>
      <c r="D12" s="3" t="s">
        <v>96</v>
      </c>
      <c r="E12" s="3" t="s">
        <v>105</v>
      </c>
      <c r="F12" s="3" t="s">
        <v>106</v>
      </c>
      <c r="G12" s="3" t="s">
        <v>15</v>
      </c>
      <c r="H12" s="3" t="str">
        <f>IFERROR(INDEX(Pattern!$B:$B,MATCH(G12,Pattern!$A:$A,0)),"")</f>
        <v xml:space="preserve">Come valutano se un profilo è affidabile</v>
      </c>
    </row>
    <row r="13" ht="28.5">
      <c r="A13" s="3" t="s">
        <v>107</v>
      </c>
      <c r="B13" s="3" t="s">
        <v>81</v>
      </c>
      <c r="C13" s="3" t="s">
        <v>95</v>
      </c>
      <c r="D13" s="3" t="s">
        <v>108</v>
      </c>
      <c r="E13" s="3" t="s">
        <v>109</v>
      </c>
      <c r="F13" s="3"/>
      <c r="G13" s="3" t="s">
        <v>15</v>
      </c>
      <c r="H13" s="3" t="str">
        <f>IFERROR(INDEX(Pattern!$B:$B,MATCH(G13,Pattern!$A:$A,0)),"")</f>
        <v xml:space="preserve">Come valutano se un profilo è affidabile</v>
      </c>
    </row>
    <row r="14" ht="28.5">
      <c r="A14" s="3" t="s">
        <v>110</v>
      </c>
      <c r="B14" s="3" t="s">
        <v>81</v>
      </c>
      <c r="C14" s="3" t="s">
        <v>111</v>
      </c>
      <c r="D14" s="3" t="s">
        <v>108</v>
      </c>
      <c r="E14" s="3" t="s">
        <v>112</v>
      </c>
      <c r="F14" s="3"/>
      <c r="G14" s="3" t="s">
        <v>15</v>
      </c>
      <c r="H14" s="3" t="str">
        <f>IFERROR(INDEX(Pattern!$B:$B,MATCH(G14,Pattern!$A:$A,0)),"")</f>
        <v xml:space="preserve">Come valutano se un profilo è affidabile</v>
      </c>
    </row>
    <row r="15" ht="28.5">
      <c r="A15" s="3" t="s">
        <v>113</v>
      </c>
      <c r="B15" s="3" t="s">
        <v>81</v>
      </c>
      <c r="C15" s="3" t="s">
        <v>86</v>
      </c>
      <c r="D15" s="3" t="s">
        <v>108</v>
      </c>
      <c r="E15" s="3" t="s">
        <v>114</v>
      </c>
      <c r="F15" s="3"/>
      <c r="G15" s="3" t="s">
        <v>15</v>
      </c>
      <c r="H15" s="3" t="str">
        <f>IFERROR(INDEX(Pattern!$B:$B,MATCH(G15,Pattern!$A:$A,0)),"")</f>
        <v xml:space="preserve">Come valutano se un profilo è affidabile</v>
      </c>
    </row>
    <row r="16" ht="28.5">
      <c r="A16" s="3" t="s">
        <v>115</v>
      </c>
      <c r="B16" s="3" t="s">
        <v>81</v>
      </c>
      <c r="C16" s="3" t="s">
        <v>102</v>
      </c>
      <c r="D16" s="3" t="s">
        <v>108</v>
      </c>
      <c r="E16" s="3" t="s">
        <v>116</v>
      </c>
      <c r="F16" s="3"/>
      <c r="G16" s="3" t="s">
        <v>15</v>
      </c>
      <c r="H16" s="3" t="str">
        <f>IFERROR(INDEX(Pattern!$B:$B,MATCH(G16,Pattern!$A:$A,0)),"")</f>
        <v xml:space="preserve">Come valutano se un profilo è affidabile</v>
      </c>
    </row>
    <row r="17" ht="42.75">
      <c r="A17" s="3" t="s">
        <v>117</v>
      </c>
      <c r="B17" s="3" t="s">
        <v>81</v>
      </c>
      <c r="C17" s="3" t="s">
        <v>118</v>
      </c>
      <c r="D17" s="3" t="s">
        <v>119</v>
      </c>
      <c r="E17" s="3" t="s">
        <v>120</v>
      </c>
      <c r="F17" s="3"/>
      <c r="G17" s="3" t="s">
        <v>15</v>
      </c>
      <c r="H17" s="3" t="str">
        <f>IFERROR(INDEX(Pattern!$B:$B,MATCH(G17,Pattern!$A:$A,0)),"")</f>
        <v xml:space="preserve">Come valutano se un profilo è affidabile</v>
      </c>
    </row>
    <row r="18" ht="42.75">
      <c r="A18" s="3" t="s">
        <v>121</v>
      </c>
      <c r="B18" s="3" t="s">
        <v>81</v>
      </c>
      <c r="C18" s="3" t="s">
        <v>122</v>
      </c>
      <c r="D18" s="3" t="s">
        <v>119</v>
      </c>
      <c r="E18" s="3" t="s">
        <v>123</v>
      </c>
      <c r="F18" s="3"/>
      <c r="G18" s="3" t="s">
        <v>15</v>
      </c>
      <c r="H18" s="3" t="str">
        <f>IFERROR(INDEX(Pattern!$B:$B,MATCH(G18,Pattern!$A:$A,0)),"")</f>
        <v xml:space="preserve">Come valutano se un profilo è affidabile</v>
      </c>
      <c r="I18" t="s">
        <v>124</v>
      </c>
    </row>
    <row r="19" ht="28.5">
      <c r="A19" s="3" t="s">
        <v>125</v>
      </c>
      <c r="B19" s="3" t="s">
        <v>81</v>
      </c>
      <c r="C19" s="3" t="s">
        <v>126</v>
      </c>
      <c r="D19" s="3" t="s">
        <v>127</v>
      </c>
      <c r="E19" s="3" t="s">
        <v>128</v>
      </c>
      <c r="F19" s="3"/>
      <c r="G19" s="3" t="s">
        <v>22</v>
      </c>
      <c r="H19" s="3" t="str">
        <f>IFERROR(INDEX(Pattern!$B:$B,MATCH(G19,Pattern!$A:$A,0)),"")</f>
        <v xml:space="preserve">Fiducia nelle proprie capacità vs comportamenti reali</v>
      </c>
    </row>
    <row r="20" ht="42.75">
      <c r="A20" s="3" t="s">
        <v>129</v>
      </c>
      <c r="B20" s="3" t="s">
        <v>81</v>
      </c>
      <c r="C20" s="3" t="s">
        <v>130</v>
      </c>
      <c r="D20" s="3" t="s">
        <v>131</v>
      </c>
      <c r="E20" s="3" t="s">
        <v>132</v>
      </c>
      <c r="F20" s="3" t="s">
        <v>133</v>
      </c>
      <c r="G20" s="3" t="s">
        <v>29</v>
      </c>
      <c r="H20" s="3" t="str">
        <f>IFERROR(INDEX(Pattern!$B:$B,MATCH(G20,Pattern!$A:$A,0)),"")</f>
        <v xml:space="preserve">Deepfake e contenuti falsi tra coetanei</v>
      </c>
      <c r="I20" t="s">
        <v>134</v>
      </c>
    </row>
    <row r="21" ht="28.5">
      <c r="A21" s="3" t="s">
        <v>135</v>
      </c>
      <c r="B21" s="3" t="s">
        <v>81</v>
      </c>
      <c r="C21" s="3" t="s">
        <v>86</v>
      </c>
      <c r="D21" s="3" t="s">
        <v>131</v>
      </c>
      <c r="E21" s="3" t="s">
        <v>136</v>
      </c>
      <c r="F21" s="3" t="s">
        <v>137</v>
      </c>
      <c r="G21" s="3" t="s">
        <v>29</v>
      </c>
      <c r="H21" s="3" t="str">
        <f>IFERROR(INDEX(Pattern!$B:$B,MATCH(G21,Pattern!$A:$A,0)),"")</f>
        <v xml:space="preserve">Deepfake e contenuti falsi tra coetanei</v>
      </c>
    </row>
    <row r="22" ht="28.5">
      <c r="A22" s="3" t="s">
        <v>138</v>
      </c>
      <c r="B22" s="3" t="s">
        <v>81</v>
      </c>
      <c r="C22" s="3" t="s">
        <v>139</v>
      </c>
      <c r="D22" s="3" t="s">
        <v>131</v>
      </c>
      <c r="E22" s="3" t="s">
        <v>140</v>
      </c>
      <c r="F22" s="3" t="s">
        <v>137</v>
      </c>
      <c r="G22" s="3" t="s">
        <v>42</v>
      </c>
      <c r="H22" s="3" t="str">
        <f>IFERROR(INDEX(Pattern!$B:$B,MATCH(G22,Pattern!$A:$A,0)),"")</f>
        <v xml:space="preserve">Chiedere aiuto: a chi, e perché no</v>
      </c>
      <c r="I22" t="s">
        <v>141</v>
      </c>
    </row>
    <row r="23" ht="28.5">
      <c r="A23" s="3" t="s">
        <v>142</v>
      </c>
      <c r="B23" s="3" t="s">
        <v>81</v>
      </c>
      <c r="C23" s="3" t="s">
        <v>143</v>
      </c>
      <c r="D23" s="3" t="s">
        <v>131</v>
      </c>
      <c r="E23" s="3" t="s">
        <v>144</v>
      </c>
      <c r="F23" s="3" t="s">
        <v>137</v>
      </c>
      <c r="G23" s="3" t="s">
        <v>29</v>
      </c>
      <c r="H23" s="3" t="str">
        <f>IFERROR(INDEX(Pattern!$B:$B,MATCH(G23,Pattern!$A:$A,0)),"")</f>
        <v xml:space="preserve">Deepfake e contenuti falsi tra coetanei</v>
      </c>
      <c r="I23" t="s">
        <v>145</v>
      </c>
    </row>
    <row r="24" ht="57">
      <c r="A24" s="3" t="s">
        <v>146</v>
      </c>
      <c r="B24" s="3" t="s">
        <v>81</v>
      </c>
      <c r="C24" s="3" t="s">
        <v>147</v>
      </c>
      <c r="D24" s="3" t="s">
        <v>148</v>
      </c>
      <c r="E24" s="3" t="s">
        <v>149</v>
      </c>
      <c r="F24" s="3"/>
      <c r="G24" s="3" t="s">
        <v>35</v>
      </c>
      <c r="H24" s="3" t="str">
        <f>IFERROR(INDEX(Pattern!$B:$B,MATCH(G24,Pattern!$A:$A,0)),"")</f>
        <v xml:space="preserve">Riconoscere l'adescamento e le richieste di foto</v>
      </c>
      <c r="I24" t="s">
        <v>150</v>
      </c>
    </row>
    <row r="25" ht="28.5">
      <c r="A25" s="3" t="s">
        <v>151</v>
      </c>
      <c r="B25" s="3" t="s">
        <v>81</v>
      </c>
      <c r="C25" s="3" t="s">
        <v>152</v>
      </c>
      <c r="D25" s="3" t="s">
        <v>148</v>
      </c>
      <c r="E25" s="3" t="s">
        <v>153</v>
      </c>
      <c r="F25" s="3" t="s">
        <v>154</v>
      </c>
      <c r="G25" s="3" t="s">
        <v>35</v>
      </c>
      <c r="H25" s="3" t="str">
        <f>IFERROR(INDEX(Pattern!$B:$B,MATCH(G25,Pattern!$A:$A,0)),"")</f>
        <v xml:space="preserve">Riconoscere l'adescamento e le richieste di foto</v>
      </c>
    </row>
    <row r="26" ht="28.5">
      <c r="A26" s="3" t="s">
        <v>155</v>
      </c>
      <c r="B26" s="3" t="s">
        <v>81</v>
      </c>
      <c r="C26" s="3" t="s">
        <v>156</v>
      </c>
      <c r="D26" s="3" t="s">
        <v>157</v>
      </c>
      <c r="E26" s="3" t="s">
        <v>158</v>
      </c>
      <c r="F26" s="3" t="s">
        <v>159</v>
      </c>
      <c r="G26" s="3" t="s">
        <v>35</v>
      </c>
      <c r="H26" s="3" t="str">
        <f>IFERROR(INDEX(Pattern!$B:$B,MATCH(G26,Pattern!$A:$A,0)),"")</f>
        <v xml:space="preserve">Riconoscere l'adescamento e le richieste di foto</v>
      </c>
    </row>
    <row r="27" ht="42.75">
      <c r="A27" s="3" t="s">
        <v>160</v>
      </c>
      <c r="B27" s="3" t="s">
        <v>81</v>
      </c>
      <c r="C27" s="3" t="s">
        <v>152</v>
      </c>
      <c r="D27" s="3" t="s">
        <v>157</v>
      </c>
      <c r="E27" s="3" t="s">
        <v>161</v>
      </c>
      <c r="F27" s="3" t="s">
        <v>162</v>
      </c>
      <c r="G27" s="3" t="s">
        <v>35</v>
      </c>
      <c r="H27" s="3" t="str">
        <f>IFERROR(INDEX(Pattern!$B:$B,MATCH(G27,Pattern!$A:$A,0)),"")</f>
        <v xml:space="preserve">Riconoscere l'adescamento e le richieste di foto</v>
      </c>
      <c r="I27" t="s">
        <v>163</v>
      </c>
    </row>
    <row r="28" ht="28.5">
      <c r="A28" s="3" t="s">
        <v>164</v>
      </c>
      <c r="B28" s="3" t="s">
        <v>81</v>
      </c>
      <c r="C28" s="3" t="s">
        <v>147</v>
      </c>
      <c r="D28" s="3" t="s">
        <v>157</v>
      </c>
      <c r="E28" s="3" t="s">
        <v>165</v>
      </c>
      <c r="F28" s="3" t="s">
        <v>162</v>
      </c>
      <c r="G28" s="3" t="s">
        <v>35</v>
      </c>
      <c r="H28" s="3" t="str">
        <f>IFERROR(INDEX(Pattern!$B:$B,MATCH(G28,Pattern!$A:$A,0)),"")</f>
        <v xml:space="preserve">Riconoscere l'adescamento e le richieste di foto</v>
      </c>
    </row>
    <row r="29" ht="42.75">
      <c r="A29" s="3" t="s">
        <v>166</v>
      </c>
      <c r="B29" s="3" t="s">
        <v>81</v>
      </c>
      <c r="C29" s="3" t="s">
        <v>167</v>
      </c>
      <c r="D29" s="3" t="s">
        <v>168</v>
      </c>
      <c r="E29" s="3" t="s">
        <v>169</v>
      </c>
      <c r="F29" s="3" t="s">
        <v>170</v>
      </c>
      <c r="G29" s="3" t="s">
        <v>42</v>
      </c>
      <c r="H29" s="3" t="str">
        <f>IFERROR(INDEX(Pattern!$B:$B,MATCH(G29,Pattern!$A:$A,0)),"")</f>
        <v xml:space="preserve">Chiedere aiuto: a chi, e perché no</v>
      </c>
    </row>
    <row r="30" ht="28.5">
      <c r="A30" s="3" t="s">
        <v>171</v>
      </c>
      <c r="B30" s="3" t="s">
        <v>81</v>
      </c>
      <c r="C30" s="3" t="s">
        <v>86</v>
      </c>
      <c r="D30" s="3" t="s">
        <v>168</v>
      </c>
      <c r="E30" s="3" t="s">
        <v>172</v>
      </c>
      <c r="F30" s="3" t="s">
        <v>173</v>
      </c>
      <c r="G30" s="3" t="s">
        <v>42</v>
      </c>
      <c r="H30" s="3" t="str">
        <f>IFERROR(INDEX(Pattern!$B:$B,MATCH(G30,Pattern!$A:$A,0)),"")</f>
        <v xml:space="preserve">Chiedere aiuto: a chi, e perché no</v>
      </c>
    </row>
    <row r="31" ht="28.5">
      <c r="A31" s="3" t="s">
        <v>174</v>
      </c>
      <c r="B31" s="3" t="s">
        <v>81</v>
      </c>
      <c r="C31" s="3" t="s">
        <v>147</v>
      </c>
      <c r="D31" s="3" t="s">
        <v>168</v>
      </c>
      <c r="E31" s="3" t="s">
        <v>175</v>
      </c>
      <c r="F31" s="3" t="s">
        <v>173</v>
      </c>
      <c r="G31" s="3" t="s">
        <v>42</v>
      </c>
      <c r="H31" s="3" t="str">
        <f>IFERROR(INDEX(Pattern!$B:$B,MATCH(G31,Pattern!$A:$A,0)),"")</f>
        <v xml:space="preserve">Chiedere aiuto: a chi, e perché no</v>
      </c>
    </row>
    <row r="32" ht="28.5">
      <c r="A32" s="3" t="s">
        <v>176</v>
      </c>
      <c r="B32" s="3" t="s">
        <v>81</v>
      </c>
      <c r="C32" s="3" t="s">
        <v>177</v>
      </c>
      <c r="D32" s="3" t="s">
        <v>168</v>
      </c>
      <c r="E32" s="3" t="s">
        <v>178</v>
      </c>
      <c r="F32" s="3" t="s">
        <v>173</v>
      </c>
      <c r="G32" s="3" t="s">
        <v>42</v>
      </c>
      <c r="H32" s="3" t="str">
        <f>IFERROR(INDEX(Pattern!$B:$B,MATCH(G32,Pattern!$A:$A,0)),"")</f>
        <v xml:space="preserve">Chiedere aiuto: a chi, e perché no</v>
      </c>
      <c r="I32" t="s">
        <v>179</v>
      </c>
    </row>
    <row r="33" ht="42.75">
      <c r="A33" s="3" t="s">
        <v>180</v>
      </c>
      <c r="B33" s="3" t="s">
        <v>81</v>
      </c>
      <c r="C33" s="3" t="s">
        <v>181</v>
      </c>
      <c r="D33" s="3" t="s">
        <v>182</v>
      </c>
      <c r="E33" s="3" t="s">
        <v>183</v>
      </c>
      <c r="F33" s="3" t="s">
        <v>184</v>
      </c>
      <c r="G33" s="3" t="s">
        <v>56</v>
      </c>
      <c r="H33" s="3" t="str">
        <f>IFERROR(INDEX(Pattern!$B:$B,MATCH(G33,Pattern!$A:$A,0)),"")</f>
        <v xml:space="preserve">Idea di progetto: forum anonimo e supporto</v>
      </c>
      <c r="I33" t="s">
        <v>185</v>
      </c>
    </row>
    <row r="34" ht="28.5">
      <c r="A34" s="3" t="s">
        <v>186</v>
      </c>
      <c r="B34" s="3" t="s">
        <v>81</v>
      </c>
      <c r="C34" s="3" t="s">
        <v>86</v>
      </c>
      <c r="D34" s="3" t="s">
        <v>187</v>
      </c>
      <c r="E34" s="3" t="s">
        <v>188</v>
      </c>
      <c r="F34" s="3"/>
      <c r="G34" s="3" t="s">
        <v>29</v>
      </c>
      <c r="H34" s="3" t="str">
        <f>IFERROR(INDEX(Pattern!$B:$B,MATCH(G34,Pattern!$A:$A,0)),"")</f>
        <v xml:space="preserve">Deepfake e contenuti falsi tra coetanei</v>
      </c>
      <c r="I34" t="s">
        <v>189</v>
      </c>
    </row>
    <row r="35" ht="28.5">
      <c r="A35" s="3" t="s">
        <v>190</v>
      </c>
      <c r="B35" s="3" t="s">
        <v>81</v>
      </c>
      <c r="C35" s="3" t="s">
        <v>86</v>
      </c>
      <c r="D35" s="3" t="s">
        <v>187</v>
      </c>
      <c r="E35" s="3" t="s">
        <v>191</v>
      </c>
      <c r="F35" s="3"/>
      <c r="G35" s="3" t="s">
        <v>42</v>
      </c>
      <c r="H35" s="3" t="str">
        <f>IFERROR(INDEX(Pattern!$B:$B,MATCH(G35,Pattern!$A:$A,0)),"")</f>
        <v xml:space="preserve">Chiedere aiuto: a chi, e perché no</v>
      </c>
      <c r="I35" t="s">
        <v>192</v>
      </c>
    </row>
    <row r="36" ht="28.5">
      <c r="A36" s="3" t="s">
        <v>193</v>
      </c>
      <c r="B36" s="3" t="s">
        <v>81</v>
      </c>
      <c r="C36" s="3" t="s">
        <v>194</v>
      </c>
      <c r="D36" s="3" t="s">
        <v>187</v>
      </c>
      <c r="E36" s="3" t="s">
        <v>195</v>
      </c>
      <c r="F36" s="3"/>
      <c r="G36" s="3" t="s">
        <v>49</v>
      </c>
      <c r="H36" s="3" t="str">
        <f>IFERROR(INDEX(Pattern!$B:$B,MATCH(G36,Pattern!$A:$A,0)),"")</f>
        <v xml:space="preserve">Prevenzione e ruolo della scuola</v>
      </c>
      <c r="I36" t="s">
        <v>196</v>
      </c>
    </row>
    <row r="37" ht="28.5">
      <c r="A37" s="3" t="s">
        <v>197</v>
      </c>
      <c r="B37" s="3" t="s">
        <v>81</v>
      </c>
      <c r="C37" s="3" t="s">
        <v>86</v>
      </c>
      <c r="D37" s="3" t="s">
        <v>187</v>
      </c>
      <c r="E37" s="3" t="s">
        <v>198</v>
      </c>
      <c r="F37" s="3"/>
      <c r="G37" s="3" t="s">
        <v>29</v>
      </c>
      <c r="H37" s="3" t="str">
        <f>IFERROR(INDEX(Pattern!$B:$B,MATCH(G37,Pattern!$A:$A,0)),"")</f>
        <v xml:space="preserve">Deepfake e contenuti falsi tra coetanei</v>
      </c>
    </row>
    <row r="38">
      <c r="A38" s="3"/>
      <c r="B38" s="3"/>
      <c r="C38" s="3"/>
      <c r="D38" s="3"/>
      <c r="E38" s="3"/>
      <c r="F38" s="3"/>
      <c r="G38" s="3"/>
      <c r="H38" s="3"/>
    </row>
    <row r="39">
      <c r="A39" s="3"/>
      <c r="B39" s="3"/>
      <c r="C39" s="3"/>
      <c r="D39" s="3"/>
      <c r="E39" s="3"/>
      <c r="F39" s="3"/>
      <c r="G39" s="3"/>
      <c r="H39" s="3"/>
    </row>
    <row r="40" ht="28.5">
      <c r="A40" s="3" t="s">
        <v>199</v>
      </c>
      <c r="B40" s="3" t="s">
        <v>200</v>
      </c>
      <c r="C40" s="3" t="s">
        <v>201</v>
      </c>
      <c r="D40" s="3" t="s">
        <v>202</v>
      </c>
      <c r="E40" s="3" t="s">
        <v>203</v>
      </c>
      <c r="F40" s="3"/>
      <c r="G40" s="3" t="s">
        <v>49</v>
      </c>
      <c r="H40" s="3" t="str">
        <f>IFERROR(INDEX(Pattern!$B:$B,MATCH(G40,Pattern!$A:$A,0)),"")</f>
        <v xml:space="preserve">Prevenzione e ruolo della scuola</v>
      </c>
      <c r="I40" t="s">
        <v>204</v>
      </c>
    </row>
    <row r="41" ht="28.5">
      <c r="A41" s="3" t="s">
        <v>205</v>
      </c>
      <c r="B41" s="3" t="s">
        <v>200</v>
      </c>
      <c r="C41" s="3" t="s">
        <v>201</v>
      </c>
      <c r="D41" s="3" t="s">
        <v>202</v>
      </c>
      <c r="E41" s="3" t="s">
        <v>206</v>
      </c>
      <c r="F41" s="3"/>
      <c r="G41" s="3" t="s">
        <v>49</v>
      </c>
      <c r="H41" s="3" t="str">
        <f>IFERROR(INDEX(Pattern!$B:$B,MATCH(G41,Pattern!$A:$A,0)),"")</f>
        <v xml:space="preserve">Prevenzione e ruolo della scuola</v>
      </c>
    </row>
    <row r="42" ht="28.5">
      <c r="A42" s="3" t="s">
        <v>207</v>
      </c>
      <c r="B42" s="3" t="s">
        <v>200</v>
      </c>
      <c r="C42" s="3" t="s">
        <v>201</v>
      </c>
      <c r="D42" s="3" t="s">
        <v>202</v>
      </c>
      <c r="E42" s="3" t="s">
        <v>208</v>
      </c>
      <c r="F42" s="3"/>
      <c r="G42" s="3" t="s">
        <v>49</v>
      </c>
      <c r="H42" s="3" t="str">
        <f>IFERROR(INDEX(Pattern!$B:$B,MATCH(G42,Pattern!$A:$A,0)),"")</f>
        <v xml:space="preserve">Prevenzione e ruolo della scuola</v>
      </c>
    </row>
    <row r="43" ht="28.5">
      <c r="A43" s="3" t="s">
        <v>209</v>
      </c>
      <c r="B43" s="3" t="s">
        <v>200</v>
      </c>
      <c r="C43" s="3" t="s">
        <v>201</v>
      </c>
      <c r="D43" s="3" t="s">
        <v>202</v>
      </c>
      <c r="E43" s="3" t="s">
        <v>210</v>
      </c>
      <c r="F43" s="3"/>
      <c r="G43" s="3" t="s">
        <v>49</v>
      </c>
      <c r="H43" s="3" t="str">
        <f>IFERROR(INDEX(Pattern!$B:$B,MATCH(G43,Pattern!$A:$A,0)),"")</f>
        <v xml:space="preserve">Prevenzione e ruolo della scuola</v>
      </c>
      <c r="I43" t="s">
        <v>211</v>
      </c>
    </row>
    <row r="44" ht="28.5">
      <c r="A44" s="3" t="s">
        <v>212</v>
      </c>
      <c r="B44" s="3" t="s">
        <v>200</v>
      </c>
      <c r="C44" s="3" t="s">
        <v>201</v>
      </c>
      <c r="D44" s="3" t="s">
        <v>202</v>
      </c>
      <c r="E44" s="3" t="s">
        <v>213</v>
      </c>
      <c r="F44" s="3" t="s">
        <v>214</v>
      </c>
      <c r="G44" s="3" t="s">
        <v>49</v>
      </c>
      <c r="H44" s="3" t="str">
        <f>IFERROR(INDEX(Pattern!$B:$B,MATCH(G44,Pattern!$A:$A,0)),"")</f>
        <v xml:space="preserve">Prevenzione e ruolo della scuola</v>
      </c>
    </row>
    <row r="45" ht="28.5">
      <c r="A45" s="3" t="s">
        <v>215</v>
      </c>
      <c r="B45" s="3" t="s">
        <v>200</v>
      </c>
      <c r="C45" s="3" t="s">
        <v>201</v>
      </c>
      <c r="D45" s="3" t="s">
        <v>216</v>
      </c>
      <c r="E45" s="3" t="s">
        <v>217</v>
      </c>
      <c r="F45" s="3" t="s">
        <v>218</v>
      </c>
      <c r="G45" s="3" t="s">
        <v>42</v>
      </c>
      <c r="H45" s="3" t="str">
        <f>IFERROR(INDEX(Pattern!$B:$B,MATCH(G45,Pattern!$A:$A,0)),"")</f>
        <v xml:space="preserve">Chiedere aiuto: a chi, e perché no</v>
      </c>
    </row>
    <row r="46" ht="42.75">
      <c r="A46" s="3" t="s">
        <v>219</v>
      </c>
      <c r="B46" s="3" t="s">
        <v>200</v>
      </c>
      <c r="C46" s="3" t="s">
        <v>201</v>
      </c>
      <c r="D46" s="3" t="s">
        <v>216</v>
      </c>
      <c r="E46" s="3" t="s">
        <v>220</v>
      </c>
      <c r="F46" s="3" t="s">
        <v>137</v>
      </c>
      <c r="G46" s="3" t="s">
        <v>49</v>
      </c>
      <c r="H46" s="3" t="str">
        <f>IFERROR(INDEX(Pattern!$B:$B,MATCH(G46,Pattern!$A:$A,0)),"")</f>
        <v xml:space="preserve">Prevenzione e ruolo della scuola</v>
      </c>
      <c r="I46" t="s">
        <v>221</v>
      </c>
    </row>
    <row r="47" ht="28.5">
      <c r="A47" s="3" t="s">
        <v>222</v>
      </c>
      <c r="B47" s="3" t="s">
        <v>200</v>
      </c>
      <c r="C47" s="3" t="s">
        <v>201</v>
      </c>
      <c r="D47" s="3" t="s">
        <v>216</v>
      </c>
      <c r="E47" s="3" t="s">
        <v>223</v>
      </c>
      <c r="F47" s="3" t="s">
        <v>137</v>
      </c>
      <c r="G47" s="3" t="s">
        <v>42</v>
      </c>
      <c r="H47" s="3" t="str">
        <f>IFERROR(INDEX(Pattern!$B:$B,MATCH(G47,Pattern!$A:$A,0)),"")</f>
        <v xml:space="preserve">Chiedere aiuto: a chi, e perché no</v>
      </c>
      <c r="I47" t="s">
        <v>224</v>
      </c>
    </row>
    <row r="48" ht="28.5">
      <c r="A48" s="3" t="s">
        <v>225</v>
      </c>
      <c r="B48" s="3" t="s">
        <v>200</v>
      </c>
      <c r="C48" s="3" t="s">
        <v>201</v>
      </c>
      <c r="D48" s="3" t="s">
        <v>226</v>
      </c>
      <c r="E48" s="3" t="s">
        <v>227</v>
      </c>
      <c r="F48" s="3" t="s">
        <v>228</v>
      </c>
      <c r="G48" s="3" t="s">
        <v>56</v>
      </c>
      <c r="H48" s="3" t="str">
        <f>IFERROR(INDEX(Pattern!$B:$B,MATCH(G48,Pattern!$A:$A,0)),"")</f>
        <v xml:space="preserve">Idea di progetto: forum anonimo e supporto</v>
      </c>
    </row>
    <row r="49" ht="28.5">
      <c r="A49" s="3" t="s">
        <v>229</v>
      </c>
      <c r="B49" s="3" t="s">
        <v>200</v>
      </c>
      <c r="C49" s="3" t="s">
        <v>201</v>
      </c>
      <c r="D49" s="3" t="s">
        <v>230</v>
      </c>
      <c r="E49" s="3" t="s">
        <v>231</v>
      </c>
      <c r="F49" s="3"/>
      <c r="G49" s="3" t="s">
        <v>49</v>
      </c>
      <c r="H49" s="3" t="str">
        <f>IFERROR(INDEX(Pattern!$B:$B,MATCH(G49,Pattern!$A:$A,0)),"")</f>
        <v xml:space="preserve">Prevenzione e ruolo della scuola</v>
      </c>
      <c r="I49" t="s">
        <v>232</v>
      </c>
    </row>
    <row r="50" ht="28.5">
      <c r="A50" s="3" t="s">
        <v>233</v>
      </c>
      <c r="B50" s="3" t="s">
        <v>200</v>
      </c>
      <c r="C50" s="3" t="s">
        <v>201</v>
      </c>
      <c r="D50" s="3" t="s">
        <v>234</v>
      </c>
      <c r="E50" s="3" t="s">
        <v>235</v>
      </c>
      <c r="F50" s="3" t="s">
        <v>236</v>
      </c>
      <c r="G50" s="3" t="s">
        <v>63</v>
      </c>
      <c r="H50" s="3" t="str">
        <f>IFERROR(INDEX(Pattern!$B:$B,MATCH(G50,Pattern!$A:$A,0)),"")</f>
        <v xml:space="preserve">Come comunicare con i ragazzi</v>
      </c>
      <c r="I50" t="s">
        <v>237</v>
      </c>
    </row>
    <row r="51">
      <c r="A51" s="3" t="s">
        <v>238</v>
      </c>
      <c r="B51" s="3" t="s">
        <v>200</v>
      </c>
      <c r="C51" s="3" t="s">
        <v>201</v>
      </c>
      <c r="D51" s="3" t="s">
        <v>202</v>
      </c>
      <c r="E51" s="3" t="s">
        <v>239</v>
      </c>
      <c r="F51" s="3"/>
      <c r="G51" s="3" t="s">
        <v>49</v>
      </c>
      <c r="H51" s="3" t="str">
        <f>IFERROR(INDEX(Pattern!$B:$B,MATCH(G51,Pattern!$A:$A,0)),"")</f>
        <v xml:space="preserve">Prevenzione e ruolo della scuola</v>
      </c>
    </row>
    <row r="52" ht="28.5">
      <c r="A52" s="3" t="s">
        <v>240</v>
      </c>
      <c r="B52" s="3" t="s">
        <v>200</v>
      </c>
      <c r="C52" s="3" t="s">
        <v>201</v>
      </c>
      <c r="D52" s="3" t="s">
        <v>241</v>
      </c>
      <c r="E52" s="3" t="s">
        <v>242</v>
      </c>
      <c r="F52" s="3"/>
      <c r="G52" s="3" t="s">
        <v>49</v>
      </c>
      <c r="H52" s="3" t="str">
        <f>IFERROR(INDEX(Pattern!$B:$B,MATCH(G52,Pattern!$A:$A,0)),"")</f>
        <v xml:space="preserve">Prevenzione e ruolo della scuola</v>
      </c>
      <c r="I52" t="s">
        <v>243</v>
      </c>
    </row>
    <row r="53" ht="28.5">
      <c r="A53" s="3" t="s">
        <v>244</v>
      </c>
      <c r="B53" s="3" t="s">
        <v>200</v>
      </c>
      <c r="C53" s="3" t="s">
        <v>201</v>
      </c>
      <c r="D53" s="3" t="s">
        <v>245</v>
      </c>
      <c r="E53" s="3" t="s">
        <v>246</v>
      </c>
      <c r="F53" s="3" t="s">
        <v>247</v>
      </c>
      <c r="G53" s="3" t="s">
        <v>42</v>
      </c>
      <c r="H53" s="3" t="str">
        <f>IFERROR(INDEX(Pattern!$B:$B,MATCH(G53,Pattern!$A:$A,0)),"")</f>
        <v xml:space="preserve">Chiedere aiuto: a chi, e perché no</v>
      </c>
    </row>
    <row r="54" ht="42.75">
      <c r="A54" s="3" t="s">
        <v>248</v>
      </c>
      <c r="B54" s="3" t="s">
        <v>200</v>
      </c>
      <c r="C54" s="3" t="s">
        <v>201</v>
      </c>
      <c r="D54" s="3" t="s">
        <v>245</v>
      </c>
      <c r="E54" s="3" t="s">
        <v>249</v>
      </c>
      <c r="F54" s="3" t="s">
        <v>250</v>
      </c>
      <c r="G54" s="3" t="s">
        <v>42</v>
      </c>
      <c r="H54" s="3" t="str">
        <f>IFERROR(INDEX(Pattern!$B:$B,MATCH(G54,Pattern!$A:$A,0)),"")</f>
        <v xml:space="preserve">Chiedere aiuto: a chi, e perché no</v>
      </c>
    </row>
    <row r="55" ht="28.5">
      <c r="A55" s="3" t="s">
        <v>251</v>
      </c>
      <c r="B55" s="3" t="s">
        <v>200</v>
      </c>
      <c r="C55" s="3" t="s">
        <v>201</v>
      </c>
      <c r="D55" s="3" t="s">
        <v>245</v>
      </c>
      <c r="E55" s="3" t="s">
        <v>252</v>
      </c>
      <c r="F55" s="3" t="s">
        <v>253</v>
      </c>
      <c r="G55" s="3" t="s">
        <v>42</v>
      </c>
      <c r="H55" s="3" t="str">
        <f>IFERROR(INDEX(Pattern!$B:$B,MATCH(G55,Pattern!$A:$A,0)),"")</f>
        <v xml:space="preserve">Chiedere aiuto: a chi, e perché no</v>
      </c>
      <c r="I55" t="s">
        <v>254</v>
      </c>
    </row>
    <row r="56" ht="28.5">
      <c r="A56" s="3" t="s">
        <v>255</v>
      </c>
      <c r="B56" s="3" t="s">
        <v>200</v>
      </c>
      <c r="C56" s="3" t="s">
        <v>201</v>
      </c>
      <c r="D56" s="3" t="s">
        <v>256</v>
      </c>
      <c r="E56" s="3" t="s">
        <v>257</v>
      </c>
      <c r="F56" s="3" t="s">
        <v>258</v>
      </c>
      <c r="G56" s="3" t="s">
        <v>42</v>
      </c>
      <c r="H56" s="3" t="str">
        <f>IFERROR(INDEX(Pattern!$B:$B,MATCH(G56,Pattern!$A:$A,0)),"")</f>
        <v xml:space="preserve">Chiedere aiuto: a chi, e perché no</v>
      </c>
    </row>
    <row r="57" ht="28.5">
      <c r="A57" s="3" t="s">
        <v>259</v>
      </c>
      <c r="B57" s="3" t="s">
        <v>200</v>
      </c>
      <c r="C57" s="3" t="s">
        <v>201</v>
      </c>
      <c r="D57" s="3" t="s">
        <v>234</v>
      </c>
      <c r="E57" s="3" t="s">
        <v>260</v>
      </c>
      <c r="F57" s="3"/>
      <c r="G57" s="3" t="s">
        <v>63</v>
      </c>
      <c r="H57" s="3" t="str">
        <f>IFERROR(INDEX(Pattern!$B:$B,MATCH(G57,Pattern!$A:$A,0)),"")</f>
        <v xml:space="preserve">Come comunicare con i ragazzi</v>
      </c>
      <c r="I57" t="s">
        <v>261</v>
      </c>
    </row>
    <row r="58" ht="28.5">
      <c r="A58" s="3" t="s">
        <v>262</v>
      </c>
      <c r="B58" s="3" t="s">
        <v>200</v>
      </c>
      <c r="C58" s="3" t="s">
        <v>201</v>
      </c>
      <c r="D58" s="3" t="s">
        <v>226</v>
      </c>
      <c r="E58" s="3" t="s">
        <v>263</v>
      </c>
      <c r="F58" s="3" t="s">
        <v>264</v>
      </c>
      <c r="G58" s="3" t="s">
        <v>56</v>
      </c>
      <c r="H58" s="3" t="str">
        <f>IFERROR(INDEX(Pattern!$B:$B,MATCH(G58,Pattern!$A:$A,0)),"")</f>
        <v xml:space="preserve">Idea di progetto: forum anonimo e supporto</v>
      </c>
    </row>
    <row r="59" ht="42.75">
      <c r="A59" s="3" t="s">
        <v>265</v>
      </c>
      <c r="B59" s="3" t="s">
        <v>200</v>
      </c>
      <c r="C59" s="3" t="s">
        <v>201</v>
      </c>
      <c r="D59" s="3" t="s">
        <v>226</v>
      </c>
      <c r="E59" s="3" t="s">
        <v>266</v>
      </c>
      <c r="F59" s="3" t="s">
        <v>267</v>
      </c>
      <c r="G59" s="3" t="s">
        <v>56</v>
      </c>
      <c r="H59" s="3" t="str">
        <f>IFERROR(INDEX(Pattern!$B:$B,MATCH(G59,Pattern!$A:$A,0)),"")</f>
        <v xml:space="preserve">Idea di progetto: forum anonimo e supporto</v>
      </c>
      <c r="I59" t="s">
        <v>268</v>
      </c>
    </row>
    <row r="60" ht="28.5">
      <c r="A60" s="3" t="s">
        <v>269</v>
      </c>
      <c r="B60" s="3" t="s">
        <v>200</v>
      </c>
      <c r="C60" s="3" t="s">
        <v>201</v>
      </c>
      <c r="D60" s="3" t="s">
        <v>226</v>
      </c>
      <c r="E60" s="3" t="s">
        <v>270</v>
      </c>
      <c r="F60" s="3" t="s">
        <v>271</v>
      </c>
      <c r="G60" s="3" t="s">
        <v>56</v>
      </c>
      <c r="H60" s="3" t="str">
        <f>IFERROR(INDEX(Pattern!$B:$B,MATCH(G60,Pattern!$A:$A,0)),"")</f>
        <v xml:space="preserve">Idea di progetto: forum anonimo e supporto</v>
      </c>
      <c r="I60" t="s">
        <v>272</v>
      </c>
    </row>
    <row r="61" ht="28.5">
      <c r="A61" s="3" t="s">
        <v>273</v>
      </c>
      <c r="B61" s="3" t="s">
        <v>200</v>
      </c>
      <c r="C61" s="3" t="s">
        <v>201</v>
      </c>
      <c r="D61" s="3" t="s">
        <v>274</v>
      </c>
      <c r="E61" s="3" t="s">
        <v>275</v>
      </c>
      <c r="F61" s="3"/>
      <c r="G61" s="3" t="s">
        <v>56</v>
      </c>
      <c r="H61" s="3" t="str">
        <f>IFERROR(INDEX(Pattern!$B:$B,MATCH(G61,Pattern!$A:$A,0)),"")</f>
        <v xml:space="preserve">Idea di progetto: forum anonimo e supporto</v>
      </c>
      <c r="I61" t="s">
        <v>276</v>
      </c>
    </row>
    <row r="62" ht="28.5">
      <c r="A62" s="3" t="s">
        <v>277</v>
      </c>
      <c r="B62" s="3" t="s">
        <v>200</v>
      </c>
      <c r="C62" s="3" t="s">
        <v>201</v>
      </c>
      <c r="D62" s="3" t="s">
        <v>278</v>
      </c>
      <c r="E62" s="3" t="s">
        <v>279</v>
      </c>
      <c r="F62" s="3" t="s">
        <v>280</v>
      </c>
      <c r="G62" s="3" t="s">
        <v>56</v>
      </c>
      <c r="H62" s="3" t="str">
        <f>IFERROR(INDEX(Pattern!$B:$B,MATCH(G62,Pattern!$A:$A,0)),"")</f>
        <v xml:space="preserve">Idea di progetto: forum anonimo e supporto</v>
      </c>
    </row>
    <row r="63">
      <c r="A63" s="3"/>
      <c r="B63" s="3"/>
      <c r="C63" s="3"/>
      <c r="D63" s="3"/>
      <c r="E63" s="3"/>
      <c r="F63" s="3"/>
      <c r="G63" s="3"/>
      <c r="H63" s="3"/>
    </row>
    <row r="64">
      <c r="A64" s="3"/>
      <c r="B64" s="3"/>
      <c r="C64" s="3"/>
      <c r="D64" s="3"/>
      <c r="E64" s="3"/>
      <c r="F64" s="3"/>
      <c r="G64" s="3"/>
      <c r="H64" s="3"/>
    </row>
  </sheetData>
  <autoFilter ref="A4:H64"/>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 zoomScale="100" workbookViewId="0">
      <selection activeCell="A1" activeCellId="0" sqref="A1"/>
    </sheetView>
  </sheetViews>
  <sheetFormatPr defaultColWidth="8.7109375" defaultRowHeight="14.25"/>
  <cols>
    <col customWidth="1" min="1" max="1" width="65.5703125"/>
    <col customWidth="1" min="2" max="7" width="22"/>
  </cols>
  <sheetData>
    <row r="1" ht="15.75">
      <c r="A1" s="4" t="s">
        <v>281</v>
      </c>
    </row>
    <row r="3" ht="28.5">
      <c r="A3" s="6" t="s">
        <v>282</v>
      </c>
      <c r="B3" s="6"/>
      <c r="C3" s="6"/>
    </row>
    <row r="4">
      <c r="A4" s="2"/>
      <c r="B4" s="2" t="s">
        <v>283</v>
      </c>
      <c r="C4" s="2" t="s">
        <v>284</v>
      </c>
      <c r="D4" s="2" t="s">
        <v>285</v>
      </c>
    </row>
    <row r="5">
      <c r="A5" s="3" t="s">
        <v>286</v>
      </c>
      <c r="B5" s="3">
        <v>7</v>
      </c>
      <c r="C5" s="3">
        <v>14</v>
      </c>
      <c r="D5" s="3">
        <f>SUM(B5:C5)</f>
        <v>21</v>
      </c>
    </row>
    <row r="6">
      <c r="A6" s="3" t="s">
        <v>287</v>
      </c>
      <c r="B6" s="3">
        <v>42</v>
      </c>
      <c r="C6" s="3">
        <v>35</v>
      </c>
      <c r="D6" s="3">
        <f>SUM(B6:C6)</f>
        <v>77</v>
      </c>
    </row>
    <row r="8">
      <c r="A8" s="6" t="s">
        <v>288</v>
      </c>
      <c r="B8" s="6"/>
      <c r="C8" s="6"/>
    </row>
    <row r="9">
      <c r="A9" s="2"/>
      <c r="B9" s="2" t="s">
        <v>289</v>
      </c>
      <c r="C9" s="2" t="s">
        <v>290</v>
      </c>
      <c r="D9" s="2" t="s">
        <v>285</v>
      </c>
    </row>
    <row r="10">
      <c r="A10" s="3" t="s">
        <v>286</v>
      </c>
      <c r="B10" s="3">
        <v>18</v>
      </c>
      <c r="C10" s="3">
        <v>3</v>
      </c>
      <c r="D10" s="3">
        <f>SUM(B10:C10)</f>
        <v>21</v>
      </c>
    </row>
    <row r="11">
      <c r="A11" s="3" t="s">
        <v>287</v>
      </c>
      <c r="B11" s="3">
        <v>41</v>
      </c>
      <c r="C11" s="3">
        <v>35</v>
      </c>
      <c r="D11" s="3">
        <f>SUM(B11:C11)</f>
        <v>76</v>
      </c>
    </row>
    <row r="13">
      <c r="A13" s="6" t="s">
        <v>291</v>
      </c>
      <c r="B13" s="6"/>
      <c r="C13" s="6"/>
    </row>
    <row r="14">
      <c r="A14" s="2"/>
      <c r="B14" s="2" t="s">
        <v>286</v>
      </c>
      <c r="C14" s="2" t="s">
        <v>287</v>
      </c>
      <c r="D14" s="2" t="s">
        <v>285</v>
      </c>
    </row>
    <row r="15">
      <c r="A15" s="3" t="s">
        <v>292</v>
      </c>
      <c r="B15" s="3">
        <v>5</v>
      </c>
      <c r="C15" s="3">
        <v>13</v>
      </c>
      <c r="D15" s="3">
        <f>SUM(B15:C15)</f>
        <v>18</v>
      </c>
    </row>
    <row r="16">
      <c r="A16" s="3" t="s">
        <v>293</v>
      </c>
      <c r="B16" s="3">
        <v>7</v>
      </c>
      <c r="C16" s="3">
        <v>14</v>
      </c>
      <c r="D16" s="3">
        <f>SUM(B16:C16)</f>
        <v>21</v>
      </c>
    </row>
    <row r="17">
      <c r="A17" s="3" t="s">
        <v>294</v>
      </c>
      <c r="B17" s="3">
        <v>9</v>
      </c>
      <c r="C17" s="3">
        <v>50</v>
      </c>
      <c r="D17" s="3">
        <f>SUM(B17:C17)</f>
        <v>59</v>
      </c>
    </row>
    <row r="19">
      <c r="A19" s="6" t="s">
        <v>295</v>
      </c>
      <c r="B19" s="6"/>
      <c r="C19" s="6"/>
      <c r="D19" s="6"/>
      <c r="E19" s="6"/>
      <c r="F19" s="6"/>
    </row>
    <row r="20">
      <c r="A20" s="5" t="s">
        <v>296</v>
      </c>
    </row>
    <row r="21">
      <c r="A21" s="2"/>
      <c r="B21" s="2" t="s">
        <v>297</v>
      </c>
      <c r="C21" s="2" t="s">
        <v>298</v>
      </c>
      <c r="D21" s="2" t="s">
        <v>299</v>
      </c>
      <c r="E21" s="2" t="s">
        <v>300</v>
      </c>
      <c r="F21" s="2" t="s">
        <v>301</v>
      </c>
      <c r="G21" s="2" t="s">
        <v>285</v>
      </c>
    </row>
    <row r="22">
      <c r="A22" s="3" t="s">
        <v>302</v>
      </c>
      <c r="B22" s="3">
        <v>0</v>
      </c>
      <c r="C22" s="3">
        <v>9</v>
      </c>
      <c r="D22" s="3">
        <v>0</v>
      </c>
      <c r="E22" s="3">
        <v>1</v>
      </c>
      <c r="F22" s="3">
        <v>0</v>
      </c>
      <c r="G22" s="3">
        <f>SUM(B22:F22)</f>
        <v>10</v>
      </c>
    </row>
    <row r="23">
      <c r="A23" s="3" t="s">
        <v>303</v>
      </c>
      <c r="B23" s="3">
        <v>10</v>
      </c>
      <c r="C23" s="3">
        <v>41</v>
      </c>
      <c r="D23" s="3">
        <v>6</v>
      </c>
      <c r="E23" s="3">
        <v>9</v>
      </c>
      <c r="F23" s="3">
        <v>15</v>
      </c>
      <c r="G23" s="3">
        <f>SUM(B23:F23)</f>
        <v>81</v>
      </c>
    </row>
    <row r="24">
      <c r="A24" s="3" t="s">
        <v>304</v>
      </c>
      <c r="B24" s="3">
        <v>1</v>
      </c>
      <c r="C24" s="3">
        <v>1</v>
      </c>
      <c r="D24" s="3">
        <v>1</v>
      </c>
      <c r="E24" s="3">
        <v>0</v>
      </c>
      <c r="F24" s="3">
        <v>1</v>
      </c>
      <c r="G24" s="3">
        <f>SUM(B24:F24)</f>
        <v>4</v>
      </c>
    </row>
    <row r="25">
      <c r="A25" s="3" t="s">
        <v>305</v>
      </c>
      <c r="B25" s="3">
        <v>0</v>
      </c>
      <c r="C25" s="3">
        <v>0</v>
      </c>
      <c r="D25" s="3">
        <v>0</v>
      </c>
      <c r="E25" s="3">
        <v>0</v>
      </c>
      <c r="F25" s="3">
        <v>1</v>
      </c>
      <c r="G25" s="3">
        <f>SUM(B25:F25)</f>
        <v>1</v>
      </c>
    </row>
    <row r="27">
      <c r="A27" s="6" t="s">
        <v>306</v>
      </c>
      <c r="B27" s="6"/>
      <c r="C27" s="6"/>
      <c r="D27" s="6"/>
      <c r="E27" s="6"/>
    </row>
    <row r="28" ht="57">
      <c r="A28" s="2"/>
      <c r="B28" s="2" t="s">
        <v>307</v>
      </c>
      <c r="C28" s="2" t="s">
        <v>308</v>
      </c>
      <c r="D28" s="2" t="s">
        <v>309</v>
      </c>
      <c r="E28" s="2" t="s">
        <v>310</v>
      </c>
      <c r="F28" s="2" t="s">
        <v>285</v>
      </c>
    </row>
    <row r="29">
      <c r="A29" s="3" t="s">
        <v>311</v>
      </c>
      <c r="B29" s="3">
        <v>1</v>
      </c>
      <c r="C29" s="3">
        <v>0</v>
      </c>
      <c r="D29" s="3">
        <v>7</v>
      </c>
      <c r="E29" s="3">
        <v>3</v>
      </c>
      <c r="F29" s="3">
        <f>SUM(B29:E29)</f>
        <v>11</v>
      </c>
    </row>
    <row r="30">
      <c r="A30" s="3" t="s">
        <v>312</v>
      </c>
      <c r="B30" s="3">
        <v>5</v>
      </c>
      <c r="C30" s="3">
        <v>1</v>
      </c>
      <c r="D30" s="3">
        <v>19</v>
      </c>
      <c r="E30" s="3">
        <v>2</v>
      </c>
      <c r="F30" s="3">
        <f>SUM(B30:E30)</f>
        <v>27</v>
      </c>
    </row>
    <row r="31">
      <c r="A31" s="3" t="s">
        <v>313</v>
      </c>
      <c r="B31" s="3">
        <v>15</v>
      </c>
      <c r="C31" s="3">
        <v>1</v>
      </c>
      <c r="D31" s="3">
        <v>12</v>
      </c>
      <c r="E31" s="3">
        <v>4</v>
      </c>
      <c r="F31" s="3">
        <f>SUM(B31:E31)</f>
        <v>32</v>
      </c>
    </row>
    <row r="32">
      <c r="A32" s="3" t="s">
        <v>314</v>
      </c>
      <c r="B32" s="3">
        <v>14</v>
      </c>
      <c r="C32" s="3">
        <v>2</v>
      </c>
      <c r="D32" s="3">
        <v>10</v>
      </c>
      <c r="E32" s="3">
        <v>2</v>
      </c>
      <c r="F32" s="3">
        <f>SUM(B32:E32)</f>
        <v>28</v>
      </c>
    </row>
  </sheetData>
  <printOptions headings="0" gridLines="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30"/>
    <col customWidth="1" min="2" max="2" style="0" width="110"/>
  </cols>
  <sheetData>
    <row r="1" ht="17.350000000000001">
      <c r="A1" s="7" t="s">
        <v>315</v>
      </c>
    </row>
    <row r="2" ht="15">
      <c r="A2" s="8" t="s">
        <v>316</v>
      </c>
    </row>
    <row r="4" ht="15">
      <c r="A4" s="9" t="s">
        <v>317</v>
      </c>
    </row>
    <row r="5" ht="15">
      <c r="A5" s="10" t="s">
        <v>73</v>
      </c>
      <c r="B5" s="10" t="s">
        <v>318</v>
      </c>
    </row>
    <row r="6" ht="23.850000000000001">
      <c r="A6" s="11" t="s">
        <v>319</v>
      </c>
      <c r="B6" s="12" t="s">
        <v>320</v>
      </c>
    </row>
    <row r="7" ht="15">
      <c r="A7" s="11" t="s">
        <v>321</v>
      </c>
      <c r="B7" s="12" t="s">
        <v>322</v>
      </c>
    </row>
    <row r="8" ht="15">
      <c r="A8" s="11" t="s">
        <v>323</v>
      </c>
      <c r="B8" s="12" t="s">
        <v>324</v>
      </c>
    </row>
    <row r="9" ht="15">
      <c r="A9" s="11" t="s">
        <v>325</v>
      </c>
      <c r="B9" s="12" t="s">
        <v>326</v>
      </c>
    </row>
    <row r="11" ht="15">
      <c r="A11" s="9" t="s">
        <v>327</v>
      </c>
    </row>
    <row r="12" ht="15">
      <c r="A12" s="10" t="s">
        <v>328</v>
      </c>
      <c r="B12" s="10" t="s">
        <v>329</v>
      </c>
    </row>
    <row r="13" ht="15">
      <c r="A13" s="11" t="s">
        <v>330</v>
      </c>
      <c r="B13" s="12" t="s">
        <v>331</v>
      </c>
    </row>
    <row r="14" ht="15">
      <c r="A14" s="11" t="s">
        <v>332</v>
      </c>
      <c r="B14" s="12" t="s">
        <v>333</v>
      </c>
    </row>
    <row r="15" ht="15">
      <c r="A15" s="11" t="s">
        <v>334</v>
      </c>
      <c r="B15" s="12" t="s">
        <v>335</v>
      </c>
    </row>
    <row r="16" ht="15">
      <c r="A16" s="11" t="s">
        <v>336</v>
      </c>
      <c r="B16" s="12" t="s">
        <v>337</v>
      </c>
    </row>
    <row r="17" ht="15">
      <c r="A17" s="11" t="s">
        <v>338</v>
      </c>
      <c r="B17" s="12" t="s">
        <v>339</v>
      </c>
    </row>
    <row r="18" ht="15">
      <c r="A18" s="11" t="s">
        <v>340</v>
      </c>
      <c r="B18" s="12" t="s">
        <v>321</v>
      </c>
    </row>
    <row r="19" ht="15">
      <c r="A19" s="11" t="s">
        <v>341</v>
      </c>
      <c r="B19" s="12" t="s">
        <v>342</v>
      </c>
    </row>
    <row r="20" ht="15">
      <c r="A20" s="11" t="s">
        <v>343</v>
      </c>
      <c r="B20" s="12" t="s">
        <v>344</v>
      </c>
    </row>
    <row r="22" ht="15">
      <c r="A22" s="9" t="s">
        <v>345</v>
      </c>
    </row>
    <row r="23" ht="15">
      <c r="A23" s="13" t="s">
        <v>346</v>
      </c>
      <c r="B23" s="12" t="s">
        <v>347</v>
      </c>
    </row>
    <row r="24" ht="15">
      <c r="A24" s="13" t="s">
        <v>346</v>
      </c>
      <c r="B24" s="12" t="s">
        <v>348</v>
      </c>
    </row>
    <row r="25" ht="15">
      <c r="A25" s="13" t="s">
        <v>346</v>
      </c>
      <c r="B25" s="12" t="s">
        <v>349</v>
      </c>
    </row>
    <row r="26" ht="15">
      <c r="A26" s="13" t="s">
        <v>346</v>
      </c>
      <c r="B26" s="12" t="s">
        <v>350</v>
      </c>
    </row>
    <row r="27" ht="15">
      <c r="A27" s="13" t="s">
        <v>346</v>
      </c>
      <c r="B27" s="12" t="s">
        <v>351</v>
      </c>
    </row>
    <row r="28" ht="15">
      <c r="A28" s="13" t="s">
        <v>346</v>
      </c>
      <c r="B28" s="12" t="s">
        <v>352</v>
      </c>
    </row>
    <row r="30" ht="15">
      <c r="A30" s="9" t="s">
        <v>353</v>
      </c>
    </row>
    <row r="31" ht="15">
      <c r="A31" s="10" t="s">
        <v>354</v>
      </c>
      <c r="B31" s="10" t="s">
        <v>318</v>
      </c>
    </row>
    <row r="32" ht="15">
      <c r="A32" s="11" t="s">
        <v>355</v>
      </c>
      <c r="B32" s="12" t="s">
        <v>356</v>
      </c>
    </row>
    <row r="33" ht="15">
      <c r="A33" s="11" t="s">
        <v>357</v>
      </c>
      <c r="B33" s="12" t="s">
        <v>358</v>
      </c>
    </row>
    <row r="34" ht="15">
      <c r="A34" s="11" t="s">
        <v>359</v>
      </c>
      <c r="B34" s="12" t="s">
        <v>360</v>
      </c>
    </row>
    <row r="35" ht="15">
      <c r="A35" s="11" t="s">
        <v>361</v>
      </c>
      <c r="B35" s="12" t="s">
        <v>362</v>
      </c>
    </row>
    <row r="36" ht="15">
      <c r="A36" s="11" t="s">
        <v>363</v>
      </c>
      <c r="B36" s="12" t="s">
        <v>364</v>
      </c>
    </row>
    <row r="37" ht="15">
      <c r="A37" s="11" t="s">
        <v>365</v>
      </c>
      <c r="B37" s="12" t="s">
        <v>366</v>
      </c>
    </row>
    <row r="38" ht="15">
      <c r="A38" s="11" t="s">
        <v>367</v>
      </c>
      <c r="B38" s="12" t="s">
        <v>368</v>
      </c>
    </row>
    <row r="39" ht="15">
      <c r="A39" s="11" t="s">
        <v>369</v>
      </c>
      <c r="B39" s="12" t="s">
        <v>370</v>
      </c>
    </row>
    <row r="40" ht="15">
      <c r="A40" s="11" t="s">
        <v>371</v>
      </c>
      <c r="B40" s="12" t="s">
        <v>372</v>
      </c>
    </row>
    <row r="41" ht="15">
      <c r="A41" s="11" t="s">
        <v>373</v>
      </c>
      <c r="B41" s="12" t="s">
        <v>374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44"/>
    <col customWidth="1" min="2" max="2" style="0" width="20"/>
    <col customWidth="1" min="3" max="3" style="0" width="16"/>
    <col customWidth="1" min="4" max="4" style="0" width="18"/>
    <col customWidth="1" min="5" max="5" style="0" width="16"/>
    <col customWidth="1" min="6" max="6" style="0" width="18"/>
  </cols>
  <sheetData>
    <row r="1" ht="17.350000000000001">
      <c r="A1" s="7" t="s">
        <v>375</v>
      </c>
    </row>
    <row r="2" ht="15">
      <c r="A2" s="8" t="s">
        <v>376</v>
      </c>
    </row>
    <row r="4" ht="15">
      <c r="A4" s="9" t="s">
        <v>377</v>
      </c>
    </row>
    <row r="5" ht="15">
      <c r="A5" s="10" t="s">
        <v>378</v>
      </c>
      <c r="B5" s="10" t="s">
        <v>379</v>
      </c>
    </row>
    <row r="6" ht="15">
      <c r="A6" s="12" t="s">
        <v>380</v>
      </c>
      <c r="B6" s="14">
        <f>'F0 Autovalutazione'!B35</f>
        <v>23</v>
      </c>
    </row>
    <row r="7" ht="15">
      <c r="A7" s="12" t="s">
        <v>381</v>
      </c>
      <c r="B7" s="15">
        <f>'F0 Autovalutazione'!C35</f>
        <v>6.60869565217391</v>
      </c>
    </row>
    <row r="8" ht="23.850000000000001">
      <c r="A8" s="12" t="s">
        <v>382</v>
      </c>
      <c r="B8" s="15">
        <f>'F0 Autovalutazione'!D35</f>
        <v>7</v>
      </c>
    </row>
    <row r="9" ht="15">
      <c r="A9" s="12" t="s">
        <v>383</v>
      </c>
      <c r="B9" s="16">
        <f>'F1 Foto (dati)'!E93</f>
        <v>0.794871794871795</v>
      </c>
    </row>
    <row r="10" ht="15">
      <c r="A10" s="12" t="s">
        <v>384</v>
      </c>
      <c r="B10" s="16">
        <f>('F1 Foto (dati)'!D97+'F1 Foto (dati)'!D98)/('F1 Foto (dati)'!C97+'F1 Foto (dati)'!C98)</f>
        <v>0.933333333333333</v>
      </c>
    </row>
    <row r="11" ht="15">
      <c r="A11" s="12" t="s">
        <v>385</v>
      </c>
      <c r="B11" s="16">
        <f>'F1 Foto (dati)'!E101</f>
        <v>0.526315789473684</v>
      </c>
    </row>
    <row r="12" ht="15">
      <c r="A12" s="12" t="s">
        <v>386</v>
      </c>
      <c r="B12" s="14">
        <f>'F1 Foto (dati)'!G93</f>
        <v>11</v>
      </c>
    </row>
    <row r="13" ht="15">
      <c r="A13" s="12" t="s">
        <v>387</v>
      </c>
      <c r="B13" s="14">
        <f>'F1 Foto (dati)'!F93</f>
        <v>5</v>
      </c>
    </row>
    <row r="14" ht="15">
      <c r="A14" s="12" t="s">
        <v>388</v>
      </c>
      <c r="B14" s="14">
        <f>COUNTIF('F2 Chat'!G5:G9,5)</f>
        <v>0</v>
      </c>
    </row>
    <row r="16" ht="15">
      <c r="A16" s="9" t="s">
        <v>389</v>
      </c>
    </row>
    <row r="17" ht="23.850000000000001">
      <c r="A17" s="10" t="s">
        <v>390</v>
      </c>
      <c r="B17" s="10" t="s">
        <v>391</v>
      </c>
      <c r="C17" s="10" t="s">
        <v>392</v>
      </c>
      <c r="D17" s="10" t="s">
        <v>393</v>
      </c>
      <c r="E17" s="10" t="s">
        <v>385</v>
      </c>
      <c r="F17" s="10" t="s">
        <v>394</v>
      </c>
    </row>
    <row r="18" ht="15">
      <c r="A18" s="11" t="s">
        <v>395</v>
      </c>
      <c r="B18" s="17">
        <f>'F0 Autovalutazione'!C30</f>
        <v>6.8</v>
      </c>
      <c r="C18" s="18">
        <f t="shared" ref="C18:C22" si="0">B18/10</f>
        <v>0.68</v>
      </c>
      <c r="D18" s="18">
        <f>'F1 Foto (dati)'!E88</f>
        <v>0.866666666666667</v>
      </c>
      <c r="E18" s="18">
        <f>COUNTIFS('F1 Foto (dati)'!$B$5:$B$84,A18,'F1 Foto (dati)'!$C$5:$C$84,"L4",'F1 Foto (dati)'!$G$5:$G$84,1)/COUNTIFS('F1 Foto (dati)'!$B$5:$B$84,A18,'F1 Foto (dati)'!$C$5:$C$84,"L4",'F1 Foto (dati)'!$G$5:$G$84,"&lt;&gt;n.v.")</f>
        <v>0.666666666666667</v>
      </c>
      <c r="F18" s="19">
        <f t="shared" ref="F18:F22" si="1">E18-C18</f>
        <v>-0.0133333333333333</v>
      </c>
    </row>
    <row r="19" ht="15">
      <c r="A19" s="11" t="s">
        <v>396</v>
      </c>
      <c r="B19" s="17">
        <f>'F0 Autovalutazione'!C31</f>
        <v>7</v>
      </c>
      <c r="C19" s="18">
        <f t="shared" si="0"/>
        <v>0.7</v>
      </c>
      <c r="D19" s="18">
        <f>'F1 Foto (dati)'!E89</f>
        <v>0.8125</v>
      </c>
      <c r="E19" s="18">
        <f>COUNTIFS('F1 Foto (dati)'!$B$5:$B$84,A19,'F1 Foto (dati)'!$C$5:$C$84,"L4",'F1 Foto (dati)'!$G$5:$G$84,1)/COUNTIFS('F1 Foto (dati)'!$B$5:$B$84,A19,'F1 Foto (dati)'!$C$5:$C$84,"L4",'F1 Foto (dati)'!$G$5:$G$84,"&lt;&gt;n.v.")</f>
        <v>0.5</v>
      </c>
      <c r="F19" s="19">
        <f t="shared" si="1"/>
        <v>-0.2</v>
      </c>
    </row>
    <row r="20" ht="15">
      <c r="A20" s="11" t="s">
        <v>397</v>
      </c>
      <c r="B20" s="17">
        <f>'F0 Autovalutazione'!C32</f>
        <v>6.5</v>
      </c>
      <c r="C20" s="18">
        <f t="shared" si="0"/>
        <v>0.65</v>
      </c>
      <c r="D20" s="18">
        <f>'F1 Foto (dati)'!E90</f>
        <v>0.6875</v>
      </c>
      <c r="E20" s="18">
        <f>COUNTIFS('F1 Foto (dati)'!$B$5:$B$84,A20,'F1 Foto (dati)'!$C$5:$C$84,"L4",'F1 Foto (dati)'!$G$5:$G$84,1)/COUNTIFS('F1 Foto (dati)'!$B$5:$B$84,A20,'F1 Foto (dati)'!$C$5:$C$84,"L4",'F1 Foto (dati)'!$G$5:$G$84,"&lt;&gt;n.v.")</f>
        <v>0.25</v>
      </c>
      <c r="F20" s="19">
        <f t="shared" si="1"/>
        <v>-0.4</v>
      </c>
    </row>
    <row r="21" ht="15">
      <c r="A21" s="11" t="s">
        <v>398</v>
      </c>
      <c r="B21" s="17">
        <f>'F0 Autovalutazione'!C33</f>
        <v>6</v>
      </c>
      <c r="C21" s="18">
        <f t="shared" si="0"/>
        <v>0.6</v>
      </c>
      <c r="D21" s="18">
        <f>'F1 Foto (dati)'!E91</f>
        <v>0.8125</v>
      </c>
      <c r="E21" s="18">
        <f>COUNTIFS('F1 Foto (dati)'!$B$5:$B$84,A21,'F1 Foto (dati)'!$C$5:$C$84,"L4",'F1 Foto (dati)'!$G$5:$G$84,1)/COUNTIFS('F1 Foto (dati)'!$B$5:$B$84,A21,'F1 Foto (dati)'!$C$5:$C$84,"L4",'F1 Foto (dati)'!$G$5:$G$84,"&lt;&gt;n.v.")</f>
        <v>0.75</v>
      </c>
      <c r="F21" s="19">
        <f t="shared" si="1"/>
        <v>0.15</v>
      </c>
    </row>
    <row r="22" ht="15">
      <c r="A22" s="11" t="s">
        <v>399</v>
      </c>
      <c r="B22" s="17">
        <f>'F0 Autovalutazione'!C34</f>
        <v>6.75</v>
      </c>
      <c r="C22" s="18">
        <f t="shared" si="0"/>
        <v>0.675</v>
      </c>
      <c r="D22" s="18">
        <f>'F1 Foto (dati)'!E92</f>
        <v>0.8</v>
      </c>
      <c r="E22" s="18">
        <f>COUNTIFS('F1 Foto (dati)'!$B$5:$B$84,A22,'F1 Foto (dati)'!$C$5:$C$84,"L4",'F1 Foto (dati)'!$G$5:$G$84,1)/COUNTIFS('F1 Foto (dati)'!$B$5:$B$84,A22,'F1 Foto (dati)'!$C$5:$C$84,"L4",'F1 Foto (dati)'!$G$5:$G$84,"&lt;&gt;n.v.")</f>
        <v>0.5</v>
      </c>
      <c r="F22" s="19">
        <f t="shared" si="1"/>
        <v>-0.175</v>
      </c>
    </row>
    <row r="23" ht="57.75" customHeight="1">
      <c r="A23" s="20" t="s">
        <v>400</v>
      </c>
      <c r="B23" s="21" t="s">
        <v>401</v>
      </c>
      <c r="C23" s="21"/>
      <c r="D23" s="21"/>
      <c r="E23" s="21"/>
      <c r="F23" s="21"/>
    </row>
    <row r="25" ht="15">
      <c r="A25" s="9" t="s">
        <v>402</v>
      </c>
    </row>
    <row r="26" ht="15">
      <c r="A26" s="10" t="s">
        <v>403</v>
      </c>
      <c r="B26" s="10" t="s">
        <v>404</v>
      </c>
    </row>
    <row r="27" ht="23.850000000000001">
      <c r="A27" s="12" t="s">
        <v>405</v>
      </c>
      <c r="B27" s="18">
        <f>'F1 Foto (dati)'!E97</f>
        <v>1</v>
      </c>
      <c r="C27" s="20" t="s">
        <v>406</v>
      </c>
    </row>
    <row r="28" ht="15">
      <c r="A28" s="12" t="s">
        <v>407</v>
      </c>
      <c r="B28" s="18">
        <f>'F1 Foto (dati)'!E98</f>
        <v>0.866666666666667</v>
      </c>
      <c r="C28" s="20" t="s">
        <v>408</v>
      </c>
    </row>
    <row r="29" ht="15">
      <c r="A29" s="12" t="s">
        <v>409</v>
      </c>
      <c r="B29" s="18">
        <f>'F1 Foto (dati)'!E99</f>
        <v>0.8</v>
      </c>
      <c r="C29" s="20" t="s">
        <v>410</v>
      </c>
    </row>
    <row r="30" ht="15">
      <c r="A30" s="12" t="s">
        <v>411</v>
      </c>
      <c r="B30" s="18">
        <f>'F1 Foto (dati)'!E100</f>
        <v>0.857142857142857</v>
      </c>
      <c r="C30" s="20" t="s">
        <v>412</v>
      </c>
    </row>
    <row r="31" ht="15">
      <c r="A31" s="12" t="s">
        <v>413</v>
      </c>
      <c r="B31" s="18">
        <f>'F1 Foto (dati)'!E101</f>
        <v>0.526315789473684</v>
      </c>
      <c r="C31" s="20" t="s">
        <v>414</v>
      </c>
    </row>
    <row r="33" ht="15">
      <c r="A33" s="9" t="s">
        <v>415</v>
      </c>
    </row>
    <row r="34" ht="181.5" customHeight="1">
      <c r="A34" s="22" t="s">
        <v>416</v>
      </c>
      <c r="B34" s="23" t="s">
        <v>417</v>
      </c>
      <c r="C34" s="23"/>
      <c r="D34" s="23"/>
      <c r="E34" s="23"/>
      <c r="F34" s="23"/>
    </row>
    <row r="35" ht="165.75" customHeight="1">
      <c r="A35" s="22" t="s">
        <v>418</v>
      </c>
      <c r="B35" s="23" t="s">
        <v>419</v>
      </c>
      <c r="C35" s="23"/>
      <c r="D35" s="23"/>
      <c r="E35" s="23"/>
      <c r="F35" s="23"/>
    </row>
    <row r="36" ht="165.75" customHeight="1">
      <c r="A36" s="22" t="s">
        <v>420</v>
      </c>
      <c r="B36" s="23" t="s">
        <v>421</v>
      </c>
      <c r="C36" s="23"/>
      <c r="D36" s="23"/>
      <c r="E36" s="23"/>
      <c r="F36" s="23"/>
    </row>
    <row r="37" ht="150" customHeight="1">
      <c r="A37" s="22" t="s">
        <v>422</v>
      </c>
      <c r="B37" s="23" t="s">
        <v>423</v>
      </c>
      <c r="C37" s="23"/>
      <c r="D37" s="23"/>
      <c r="E37" s="23"/>
      <c r="F37" s="23"/>
    </row>
  </sheetData>
  <mergeCells count="5">
    <mergeCell ref="B23:F23"/>
    <mergeCell ref="B34:F34"/>
    <mergeCell ref="B35:F35"/>
    <mergeCell ref="B36:F36"/>
    <mergeCell ref="B37:F37"/>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16"/>
    <col customWidth="1" min="2" max="2" style="0" width="13"/>
    <col customWidth="1" min="3" max="4" style="0" width="22"/>
    <col customWidth="1" min="5" max="5" style="0" width="50"/>
  </cols>
  <sheetData>
    <row r="1" ht="17.350000000000001">
      <c r="A1" s="7" t="s">
        <v>424</v>
      </c>
    </row>
    <row r="4" ht="23.850000000000001">
      <c r="A4" s="10" t="s">
        <v>390</v>
      </c>
      <c r="B4" s="10" t="s">
        <v>425</v>
      </c>
      <c r="C4" s="10" t="s">
        <v>426</v>
      </c>
      <c r="D4" s="10" t="s">
        <v>427</v>
      </c>
      <c r="E4" s="10" t="s">
        <v>428</v>
      </c>
    </row>
    <row r="5" ht="15">
      <c r="A5" s="12" t="s">
        <v>395</v>
      </c>
      <c r="B5" s="13" t="s">
        <v>429</v>
      </c>
      <c r="C5" s="24">
        <v>7</v>
      </c>
      <c r="D5" s="24">
        <v>8</v>
      </c>
      <c r="E5" s="12"/>
    </row>
    <row r="6" ht="15">
      <c r="A6" s="12" t="s">
        <v>395</v>
      </c>
      <c r="B6" s="13" t="s">
        <v>430</v>
      </c>
      <c r="C6" s="24">
        <v>6</v>
      </c>
      <c r="D6" s="24">
        <v>8</v>
      </c>
      <c r="E6" s="12"/>
    </row>
    <row r="7" ht="15">
      <c r="A7" s="12" t="s">
        <v>395</v>
      </c>
      <c r="B7" s="13" t="s">
        <v>431</v>
      </c>
      <c r="C7" s="24">
        <v>6</v>
      </c>
      <c r="D7" s="24">
        <v>7</v>
      </c>
      <c r="E7" s="12"/>
    </row>
    <row r="8" ht="15">
      <c r="A8" s="12" t="s">
        <v>395</v>
      </c>
      <c r="B8" s="13" t="s">
        <v>432</v>
      </c>
      <c r="C8" s="24">
        <v>7</v>
      </c>
      <c r="D8" s="24">
        <v>9</v>
      </c>
      <c r="E8" s="12"/>
    </row>
    <row r="9" ht="15">
      <c r="A9" s="12" t="s">
        <v>395</v>
      </c>
      <c r="B9" s="13" t="s">
        <v>433</v>
      </c>
      <c r="C9" s="24">
        <v>8</v>
      </c>
      <c r="D9" s="24">
        <v>8</v>
      </c>
      <c r="E9" s="12"/>
    </row>
    <row r="10" ht="15">
      <c r="A10" s="12" t="s">
        <v>396</v>
      </c>
      <c r="B10" s="13" t="s">
        <v>429</v>
      </c>
      <c r="C10" s="24">
        <v>7</v>
      </c>
      <c r="D10" s="24">
        <v>8</v>
      </c>
      <c r="E10" s="12"/>
    </row>
    <row r="11" ht="15">
      <c r="A11" s="12" t="s">
        <v>396</v>
      </c>
      <c r="B11" s="13" t="s">
        <v>430</v>
      </c>
      <c r="C11" s="24">
        <v>7</v>
      </c>
      <c r="D11" s="24">
        <v>8</v>
      </c>
      <c r="E11" s="12"/>
    </row>
    <row r="12" ht="15">
      <c r="A12" s="12" t="s">
        <v>396</v>
      </c>
      <c r="B12" s="13" t="s">
        <v>431</v>
      </c>
      <c r="C12" s="24">
        <v>7</v>
      </c>
      <c r="D12" s="24">
        <v>7</v>
      </c>
      <c r="E12" s="12"/>
    </row>
    <row r="13" ht="15">
      <c r="A13" s="12" t="s">
        <v>396</v>
      </c>
      <c r="B13" s="13" t="s">
        <v>432</v>
      </c>
      <c r="C13" s="24">
        <v>8</v>
      </c>
      <c r="D13" s="24">
        <v>7</v>
      </c>
      <c r="E13" s="12"/>
    </row>
    <row r="14" ht="15">
      <c r="A14" s="12" t="s">
        <v>396</v>
      </c>
      <c r="B14" s="13" t="s">
        <v>433</v>
      </c>
      <c r="C14" s="24">
        <v>6</v>
      </c>
      <c r="D14" s="24">
        <v>7</v>
      </c>
      <c r="E14" s="12"/>
    </row>
    <row r="15" ht="15">
      <c r="A15" s="12" t="s">
        <v>397</v>
      </c>
      <c r="B15" s="13" t="s">
        <v>429</v>
      </c>
      <c r="C15" s="24">
        <v>7</v>
      </c>
      <c r="D15" s="24">
        <v>7</v>
      </c>
      <c r="E15" s="12"/>
    </row>
    <row r="16" ht="15">
      <c r="A16" s="12" t="s">
        <v>397</v>
      </c>
      <c r="B16" s="13" t="s">
        <v>430</v>
      </c>
      <c r="C16" s="24">
        <v>7</v>
      </c>
      <c r="D16" s="24">
        <v>8</v>
      </c>
      <c r="E16" s="12"/>
    </row>
    <row r="17" ht="15">
      <c r="A17" s="12" t="s">
        <v>397</v>
      </c>
      <c r="B17" s="13" t="s">
        <v>431</v>
      </c>
      <c r="C17" s="24">
        <v>6</v>
      </c>
      <c r="D17" s="24">
        <v>9</v>
      </c>
      <c r="E17" s="12"/>
    </row>
    <row r="18" ht="15">
      <c r="A18" s="12" t="s">
        <v>397</v>
      </c>
      <c r="B18" s="13" t="s">
        <v>432</v>
      </c>
      <c r="C18" s="24">
        <v>6</v>
      </c>
      <c r="D18" s="24">
        <v>8</v>
      </c>
      <c r="E18" s="12"/>
    </row>
    <row r="19" ht="15">
      <c r="A19" s="12" t="s">
        <v>398</v>
      </c>
      <c r="B19" s="13" t="s">
        <v>429</v>
      </c>
      <c r="C19" s="24">
        <v>6</v>
      </c>
      <c r="D19" s="24">
        <v>6</v>
      </c>
      <c r="E19" s="12"/>
    </row>
    <row r="20" ht="15">
      <c r="A20" s="12" t="s">
        <v>398</v>
      </c>
      <c r="B20" s="13" t="s">
        <v>430</v>
      </c>
      <c r="C20" s="24">
        <v>6</v>
      </c>
      <c r="D20" s="24">
        <v>5</v>
      </c>
      <c r="E20" s="12"/>
    </row>
    <row r="21" ht="15">
      <c r="A21" s="12" t="s">
        <v>398</v>
      </c>
      <c r="B21" s="13" t="s">
        <v>431</v>
      </c>
      <c r="C21" s="24">
        <v>6</v>
      </c>
      <c r="D21" s="24">
        <v>6</v>
      </c>
      <c r="E21" s="12"/>
    </row>
    <row r="22" ht="15">
      <c r="A22" s="12" t="s">
        <v>398</v>
      </c>
      <c r="B22" s="13" t="s">
        <v>432</v>
      </c>
      <c r="C22" s="24">
        <v>6</v>
      </c>
      <c r="D22" s="24">
        <v>5</v>
      </c>
      <c r="E22" s="12"/>
    </row>
    <row r="23" ht="15">
      <c r="A23" s="12" t="s">
        <v>398</v>
      </c>
      <c r="B23" s="13" t="s">
        <v>433</v>
      </c>
      <c r="C23" s="24">
        <v>6</v>
      </c>
      <c r="D23" s="24">
        <v>5</v>
      </c>
      <c r="E23" s="12"/>
    </row>
    <row r="24" ht="15">
      <c r="A24" s="12" t="s">
        <v>399</v>
      </c>
      <c r="B24" s="13" t="s">
        <v>429</v>
      </c>
      <c r="C24" s="24">
        <v>9</v>
      </c>
      <c r="D24" s="24">
        <v>7</v>
      </c>
      <c r="E24" s="12"/>
    </row>
    <row r="25" ht="15">
      <c r="A25" s="12" t="s">
        <v>399</v>
      </c>
      <c r="B25" s="13" t="s">
        <v>430</v>
      </c>
      <c r="C25" s="24">
        <v>7</v>
      </c>
      <c r="D25" s="24">
        <v>5</v>
      </c>
      <c r="E25" s="12"/>
    </row>
    <row r="26" ht="23.850000000000001">
      <c r="A26" s="12" t="s">
        <v>399</v>
      </c>
      <c r="B26" s="13" t="s">
        <v>431</v>
      </c>
      <c r="C26" s="24">
        <v>7</v>
      </c>
      <c r="D26" s="24"/>
      <c r="E26" s="12" t="s">
        <v>434</v>
      </c>
    </row>
    <row r="27" ht="15">
      <c r="A27" s="12" t="s">
        <v>399</v>
      </c>
      <c r="B27" s="13" t="s">
        <v>432</v>
      </c>
      <c r="C27" s="24">
        <v>4</v>
      </c>
      <c r="D27" s="24">
        <v>6</v>
      </c>
      <c r="E27" s="12"/>
    </row>
    <row r="29" ht="15">
      <c r="A29" s="10" t="s">
        <v>390</v>
      </c>
      <c r="B29" s="10" t="s">
        <v>435</v>
      </c>
      <c r="C29" s="10" t="s">
        <v>436</v>
      </c>
      <c r="D29" s="10" t="s">
        <v>437</v>
      </c>
      <c r="E29" s="10" t="s">
        <v>438</v>
      </c>
    </row>
    <row r="30" ht="15">
      <c r="A30" s="11" t="s">
        <v>395</v>
      </c>
      <c r="B30" s="13">
        <f t="shared" ref="B30:B34" si="2">COUNTIF($A$5:$A$27,A30)</f>
        <v>5</v>
      </c>
      <c r="C30" s="17">
        <f t="shared" ref="C30:C34" si="3">AVERAGEIF($A$5:$A$27,A30,$C$5:$C$27)</f>
        <v>6.8</v>
      </c>
      <c r="D30" s="17">
        <f t="shared" ref="D30:D34" si="4">AVERAGEIF($A$5:$A$27,A30,$D$5:$D$27)</f>
        <v>8</v>
      </c>
      <c r="E30" s="25">
        <f t="shared" ref="E30:E35" si="5">D30-C30</f>
        <v>1.2</v>
      </c>
    </row>
    <row r="31" ht="15">
      <c r="A31" s="11" t="s">
        <v>396</v>
      </c>
      <c r="B31" s="13">
        <f t="shared" si="2"/>
        <v>5</v>
      </c>
      <c r="C31" s="17">
        <f t="shared" si="3"/>
        <v>7</v>
      </c>
      <c r="D31" s="17">
        <f t="shared" si="4"/>
        <v>7.4</v>
      </c>
      <c r="E31" s="25">
        <f t="shared" si="5"/>
        <v>0.4</v>
      </c>
    </row>
    <row r="32" ht="15">
      <c r="A32" s="11" t="s">
        <v>397</v>
      </c>
      <c r="B32" s="13">
        <f t="shared" si="2"/>
        <v>4</v>
      </c>
      <c r="C32" s="17">
        <f t="shared" si="3"/>
        <v>6.5</v>
      </c>
      <c r="D32" s="17">
        <f t="shared" si="4"/>
        <v>8</v>
      </c>
      <c r="E32" s="25">
        <f t="shared" si="5"/>
        <v>1.5</v>
      </c>
    </row>
    <row r="33" ht="15">
      <c r="A33" s="11" t="s">
        <v>398</v>
      </c>
      <c r="B33" s="13">
        <f t="shared" si="2"/>
        <v>5</v>
      </c>
      <c r="C33" s="17">
        <f t="shared" si="3"/>
        <v>6</v>
      </c>
      <c r="D33" s="17">
        <f t="shared" si="4"/>
        <v>5.4</v>
      </c>
      <c r="E33" s="25">
        <f t="shared" si="5"/>
        <v>-0.6</v>
      </c>
    </row>
    <row r="34" ht="15">
      <c r="A34" s="11" t="s">
        <v>399</v>
      </c>
      <c r="B34" s="13">
        <f t="shared" si="2"/>
        <v>4</v>
      </c>
      <c r="C34" s="17">
        <f t="shared" si="3"/>
        <v>6.75</v>
      </c>
      <c r="D34" s="17">
        <f t="shared" si="4"/>
        <v>6</v>
      </c>
      <c r="E34" s="25">
        <f t="shared" si="5"/>
        <v>-0.75</v>
      </c>
    </row>
    <row r="35" ht="15">
      <c r="A35" s="22" t="s">
        <v>439</v>
      </c>
      <c r="B35" s="26">
        <f>COUNTA($A$5:$A$27)</f>
        <v>23</v>
      </c>
      <c r="C35" s="27">
        <f>AVERAGE($C$5:$C$27)</f>
        <v>6.60869565217391</v>
      </c>
      <c r="D35" s="27">
        <f>AVERAGE($D$5:$D$27)</f>
        <v>7</v>
      </c>
      <c r="E35" s="28">
        <f t="shared" si="5"/>
        <v>0.391304347826087</v>
      </c>
    </row>
    <row r="37" ht="48" customHeight="1">
      <c r="A37" s="11" t="s">
        <v>400</v>
      </c>
      <c r="B37" s="23" t="s">
        <v>440</v>
      </c>
      <c r="C37" s="23"/>
      <c r="D37" s="23"/>
      <c r="E37" s="23"/>
    </row>
  </sheetData>
  <mergeCells count="1">
    <mergeCell ref="B37:E37"/>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xSplit="1" ySplit="4" topLeftCell="B5" activePane="bottomRight" state="frozen"/>
      <selection activeCell="A1" activeCellId="0" sqref="A1"/>
    </sheetView>
  </sheetViews>
  <sheetFormatPr defaultColWidth="8.6796875" defaultRowHeight="15"/>
  <cols>
    <col customWidth="1" min="1" max="1" style="0" width="12"/>
    <col customWidth="1" min="2" max="2" style="0" width="14"/>
    <col customWidth="1" min="3" max="3" style="0" width="8"/>
    <col customWidth="1" min="4" max="4" style="0" width="6"/>
    <col customWidth="1" min="5" max="5" style="0" width="10"/>
    <col customWidth="1" min="6" max="6" style="0" width="12"/>
    <col customWidth="1" min="7" max="7" style="0" width="8"/>
    <col customWidth="1" min="8" max="8" style="0" width="12"/>
    <col customWidth="1" min="9" max="10" style="0" width="45"/>
  </cols>
  <sheetData>
    <row r="1" ht="17.350000000000001">
      <c r="A1" s="7" t="s">
        <v>441</v>
      </c>
    </row>
    <row r="2" ht="15">
      <c r="A2" s="8" t="s">
        <v>442</v>
      </c>
    </row>
    <row r="4" ht="35.049999999999997">
      <c r="A4" s="10" t="s">
        <v>443</v>
      </c>
      <c r="B4" s="10" t="s">
        <v>390</v>
      </c>
      <c r="C4" s="10" t="s">
        <v>403</v>
      </c>
      <c r="D4" s="10" t="s">
        <v>444</v>
      </c>
      <c r="E4" s="10" t="s">
        <v>445</v>
      </c>
      <c r="F4" s="10" t="s">
        <v>446</v>
      </c>
      <c r="G4" s="10" t="s">
        <v>447</v>
      </c>
      <c r="H4" s="10" t="s">
        <v>448</v>
      </c>
      <c r="I4" s="10" t="s">
        <v>449</v>
      </c>
      <c r="J4" s="10" t="s">
        <v>450</v>
      </c>
    </row>
    <row r="5" ht="15">
      <c r="A5" s="29" t="s">
        <v>451</v>
      </c>
      <c r="B5" s="12" t="s">
        <v>395</v>
      </c>
      <c r="C5" s="13" t="s">
        <v>452</v>
      </c>
      <c r="D5" s="13">
        <v>1</v>
      </c>
      <c r="E5" s="13" t="s">
        <v>453</v>
      </c>
      <c r="F5" s="24" t="s">
        <v>453</v>
      </c>
      <c r="G5" s="13">
        <f t="shared" ref="G5:G9" si="6">IF(F5="?","n.v.",IF(F5=E5,1,0))</f>
        <v>1</v>
      </c>
      <c r="H5" s="24">
        <v>1</v>
      </c>
      <c r="I5" s="12"/>
      <c r="J5" s="30"/>
    </row>
    <row r="6" ht="15">
      <c r="A6" s="29" t="s">
        <v>454</v>
      </c>
      <c r="B6" s="12" t="s">
        <v>395</v>
      </c>
      <c r="C6" s="13" t="s">
        <v>452</v>
      </c>
      <c r="D6" s="13">
        <v>2</v>
      </c>
      <c r="E6" s="13" t="s">
        <v>455</v>
      </c>
      <c r="F6" s="24" t="s">
        <v>455</v>
      </c>
      <c r="G6" s="13">
        <f t="shared" si="6"/>
        <v>1</v>
      </c>
      <c r="H6" s="24">
        <v>1</v>
      </c>
      <c r="I6" s="12"/>
      <c r="J6" s="30"/>
    </row>
    <row r="7" ht="15">
      <c r="A7" s="29" t="s">
        <v>456</v>
      </c>
      <c r="B7" s="12" t="s">
        <v>395</v>
      </c>
      <c r="C7" s="13" t="s">
        <v>452</v>
      </c>
      <c r="D7" s="13">
        <v>3</v>
      </c>
      <c r="E7" s="13" t="s">
        <v>455</v>
      </c>
      <c r="F7" s="24" t="s">
        <v>455</v>
      </c>
      <c r="G7" s="13">
        <f t="shared" si="6"/>
        <v>1</v>
      </c>
      <c r="H7" s="24">
        <v>1</v>
      </c>
      <c r="I7" s="12" t="s">
        <v>457</v>
      </c>
      <c r="J7" s="30"/>
    </row>
    <row r="8" ht="23.850000000000001">
      <c r="A8" s="29" t="s">
        <v>458</v>
      </c>
      <c r="B8" s="12" t="s">
        <v>395</v>
      </c>
      <c r="C8" s="13" t="s">
        <v>459</v>
      </c>
      <c r="D8" s="13">
        <v>1</v>
      </c>
      <c r="E8" s="13" t="s">
        <v>455</v>
      </c>
      <c r="F8" s="24" t="s">
        <v>455</v>
      </c>
      <c r="G8" s="13">
        <f t="shared" si="6"/>
        <v>1</v>
      </c>
      <c r="H8" s="24">
        <v>1</v>
      </c>
      <c r="I8" s="12" t="s">
        <v>460</v>
      </c>
      <c r="J8" s="30"/>
    </row>
    <row r="9" ht="15">
      <c r="A9" s="29" t="s">
        <v>461</v>
      </c>
      <c r="B9" s="12" t="s">
        <v>395</v>
      </c>
      <c r="C9" s="13" t="s">
        <v>459</v>
      </c>
      <c r="D9" s="13">
        <v>2</v>
      </c>
      <c r="E9" s="13" t="s">
        <v>453</v>
      </c>
      <c r="F9" s="24" t="s">
        <v>453</v>
      </c>
      <c r="G9" s="13">
        <f t="shared" si="6"/>
        <v>1</v>
      </c>
      <c r="H9" s="24">
        <v>2</v>
      </c>
      <c r="I9" s="12"/>
      <c r="J9" s="30"/>
    </row>
    <row r="10" ht="15">
      <c r="A10" s="29" t="s">
        <v>462</v>
      </c>
      <c r="B10" s="12" t="s">
        <v>395</v>
      </c>
      <c r="C10" s="13" t="s">
        <v>459</v>
      </c>
      <c r="D10" s="13">
        <v>3</v>
      </c>
      <c r="E10" s="13" t="s">
        <v>453</v>
      </c>
      <c r="F10" s="24" t="s">
        <v>453</v>
      </c>
      <c r="G10" s="13">
        <f t="shared" ref="G10:G73" si="7">IF(F10="?","n.v.",IF(F10=E10,1,0))</f>
        <v>1</v>
      </c>
      <c r="H10" s="24">
        <v>2</v>
      </c>
      <c r="I10" s="12"/>
      <c r="J10" s="30"/>
    </row>
    <row r="11" ht="15">
      <c r="A11" s="29" t="s">
        <v>463</v>
      </c>
      <c r="B11" s="12" t="s">
        <v>395</v>
      </c>
      <c r="C11" s="13" t="s">
        <v>464</v>
      </c>
      <c r="D11" s="13">
        <v>1</v>
      </c>
      <c r="E11" s="13" t="s">
        <v>453</v>
      </c>
      <c r="F11" s="24" t="s">
        <v>455</v>
      </c>
      <c r="G11" s="13">
        <f t="shared" si="7"/>
        <v>0</v>
      </c>
      <c r="H11" s="24">
        <v>4</v>
      </c>
      <c r="I11" s="12" t="s">
        <v>465</v>
      </c>
      <c r="J11" s="30"/>
    </row>
    <row r="12" ht="15">
      <c r="A12" s="29" t="s">
        <v>466</v>
      </c>
      <c r="B12" s="12" t="s">
        <v>395</v>
      </c>
      <c r="C12" s="13" t="s">
        <v>464</v>
      </c>
      <c r="D12" s="13">
        <v>2</v>
      </c>
      <c r="E12" s="13" t="s">
        <v>453</v>
      </c>
      <c r="F12" s="24" t="s">
        <v>453</v>
      </c>
      <c r="G12" s="13">
        <f t="shared" si="7"/>
        <v>1</v>
      </c>
      <c r="H12" s="24"/>
      <c r="I12" s="12"/>
      <c r="J12" s="30"/>
    </row>
    <row r="13" ht="15">
      <c r="A13" s="29" t="s">
        <v>467</v>
      </c>
      <c r="B13" s="12" t="s">
        <v>395</v>
      </c>
      <c r="C13" s="13" t="s">
        <v>464</v>
      </c>
      <c r="D13" s="13">
        <v>3</v>
      </c>
      <c r="E13" s="13" t="s">
        <v>455</v>
      </c>
      <c r="F13" s="24" t="s">
        <v>455</v>
      </c>
      <c r="G13" s="13">
        <f t="shared" si="7"/>
        <v>1</v>
      </c>
      <c r="H13" s="24"/>
      <c r="I13" s="12" t="s">
        <v>468</v>
      </c>
      <c r="J13" s="30"/>
    </row>
    <row r="14" ht="15">
      <c r="A14" s="29" t="s">
        <v>469</v>
      </c>
      <c r="B14" s="12" t="s">
        <v>395</v>
      </c>
      <c r="C14" s="13" t="s">
        <v>470</v>
      </c>
      <c r="D14" s="13">
        <v>1</v>
      </c>
      <c r="E14" s="13" t="s">
        <v>455</v>
      </c>
      <c r="F14" s="24" t="s">
        <v>455</v>
      </c>
      <c r="G14" s="13">
        <f t="shared" si="7"/>
        <v>1</v>
      </c>
      <c r="H14" s="24">
        <v>5</v>
      </c>
      <c r="I14" s="12"/>
      <c r="J14" s="30" t="s">
        <v>471</v>
      </c>
    </row>
    <row r="15" ht="15">
      <c r="A15" s="29" t="s">
        <v>472</v>
      </c>
      <c r="B15" s="12" t="s">
        <v>395</v>
      </c>
      <c r="C15" s="13" t="s">
        <v>470</v>
      </c>
      <c r="D15" s="13">
        <v>2</v>
      </c>
      <c r="E15" s="13" t="s">
        <v>453</v>
      </c>
      <c r="F15" s="24" t="s">
        <v>453</v>
      </c>
      <c r="G15" s="13">
        <f t="shared" si="7"/>
        <v>1</v>
      </c>
      <c r="H15" s="24">
        <v>5</v>
      </c>
      <c r="I15" s="12"/>
      <c r="J15" s="30" t="s">
        <v>471</v>
      </c>
    </row>
    <row r="16" ht="15">
      <c r="A16" s="29" t="s">
        <v>473</v>
      </c>
      <c r="B16" s="12" t="s">
        <v>395</v>
      </c>
      <c r="C16" s="13" t="s">
        <v>470</v>
      </c>
      <c r="D16" s="13">
        <v>3</v>
      </c>
      <c r="E16" s="13" t="s">
        <v>455</v>
      </c>
      <c r="F16" s="24" t="s">
        <v>455</v>
      </c>
      <c r="G16" s="13">
        <f t="shared" si="7"/>
        <v>1</v>
      </c>
      <c r="H16" s="24">
        <v>5</v>
      </c>
      <c r="I16" s="12" t="s">
        <v>474</v>
      </c>
      <c r="J16" s="30" t="s">
        <v>475</v>
      </c>
    </row>
    <row r="17" ht="15">
      <c r="A17" s="29" t="s">
        <v>476</v>
      </c>
      <c r="B17" s="12" t="s">
        <v>395</v>
      </c>
      <c r="C17" s="13" t="s">
        <v>477</v>
      </c>
      <c r="D17" s="13">
        <v>1</v>
      </c>
      <c r="E17" s="13" t="s">
        <v>455</v>
      </c>
      <c r="F17" s="24" t="s">
        <v>455</v>
      </c>
      <c r="G17" s="13">
        <f t="shared" si="7"/>
        <v>1</v>
      </c>
      <c r="H17" s="24">
        <v>5</v>
      </c>
      <c r="I17" s="12" t="s">
        <v>478</v>
      </c>
      <c r="J17" s="30" t="s">
        <v>479</v>
      </c>
    </row>
    <row r="18" ht="23.850000000000001">
      <c r="A18" s="29" t="s">
        <v>480</v>
      </c>
      <c r="B18" s="12" t="s">
        <v>395</v>
      </c>
      <c r="C18" s="13" t="s">
        <v>477</v>
      </c>
      <c r="D18" s="13">
        <v>2</v>
      </c>
      <c r="E18" s="13" t="s">
        <v>455</v>
      </c>
      <c r="F18" s="24" t="s">
        <v>481</v>
      </c>
      <c r="G18" s="13" t="str">
        <f t="shared" si="7"/>
        <v>n.v.</v>
      </c>
      <c r="H18" s="24">
        <v>5</v>
      </c>
      <c r="I18" s="12" t="s">
        <v>482</v>
      </c>
      <c r="J18" s="30" t="s">
        <v>483</v>
      </c>
    </row>
    <row r="19" ht="15">
      <c r="A19" s="29" t="s">
        <v>484</v>
      </c>
      <c r="B19" s="12" t="s">
        <v>395</v>
      </c>
      <c r="C19" s="13" t="s">
        <v>477</v>
      </c>
      <c r="D19" s="13">
        <v>3</v>
      </c>
      <c r="E19" s="13" t="s">
        <v>455</v>
      </c>
      <c r="F19" s="24" t="s">
        <v>453</v>
      </c>
      <c r="G19" s="13">
        <f t="shared" si="7"/>
        <v>0</v>
      </c>
      <c r="H19" s="24"/>
      <c r="I19" s="12"/>
      <c r="J19" s="30"/>
    </row>
    <row r="20" ht="15">
      <c r="A20" s="29" t="s">
        <v>485</v>
      </c>
      <c r="B20" s="12" t="s">
        <v>395</v>
      </c>
      <c r="C20" s="13" t="s">
        <v>477</v>
      </c>
      <c r="D20" s="13">
        <v>4</v>
      </c>
      <c r="E20" s="13" t="s">
        <v>455</v>
      </c>
      <c r="F20" s="24" t="s">
        <v>455</v>
      </c>
      <c r="G20" s="13">
        <f t="shared" si="7"/>
        <v>1</v>
      </c>
      <c r="H20" s="24">
        <v>5</v>
      </c>
      <c r="I20" s="12" t="s">
        <v>486</v>
      </c>
      <c r="J20" s="30"/>
    </row>
    <row r="21" ht="15">
      <c r="A21" s="29" t="s">
        <v>487</v>
      </c>
      <c r="B21" s="12" t="s">
        <v>396</v>
      </c>
      <c r="C21" s="13" t="s">
        <v>452</v>
      </c>
      <c r="D21" s="13">
        <v>1</v>
      </c>
      <c r="E21" s="13" t="s">
        <v>453</v>
      </c>
      <c r="F21" s="24" t="s">
        <v>453</v>
      </c>
      <c r="G21" s="13">
        <f t="shared" si="7"/>
        <v>1</v>
      </c>
      <c r="H21" s="24">
        <v>1</v>
      </c>
      <c r="I21" s="12"/>
      <c r="J21" s="30"/>
    </row>
    <row r="22" ht="15">
      <c r="A22" s="29" t="s">
        <v>488</v>
      </c>
      <c r="B22" s="12" t="s">
        <v>396</v>
      </c>
      <c r="C22" s="13" t="s">
        <v>452</v>
      </c>
      <c r="D22" s="13">
        <v>2</v>
      </c>
      <c r="E22" s="13" t="s">
        <v>455</v>
      </c>
      <c r="F22" s="24" t="s">
        <v>455</v>
      </c>
      <c r="G22" s="13">
        <f t="shared" si="7"/>
        <v>1</v>
      </c>
      <c r="H22" s="24">
        <v>1</v>
      </c>
      <c r="I22" s="12"/>
      <c r="J22" s="30"/>
    </row>
    <row r="23" ht="15">
      <c r="A23" s="29" t="s">
        <v>489</v>
      </c>
      <c r="B23" s="12" t="s">
        <v>396</v>
      </c>
      <c r="C23" s="13" t="s">
        <v>452</v>
      </c>
      <c r="D23" s="13">
        <v>3</v>
      </c>
      <c r="E23" s="13" t="s">
        <v>455</v>
      </c>
      <c r="F23" s="24" t="s">
        <v>455</v>
      </c>
      <c r="G23" s="13">
        <f t="shared" si="7"/>
        <v>1</v>
      </c>
      <c r="H23" s="24">
        <v>1</v>
      </c>
      <c r="I23" s="12"/>
      <c r="J23" s="30"/>
    </row>
    <row r="24" ht="15">
      <c r="A24" s="29" t="s">
        <v>490</v>
      </c>
      <c r="B24" s="12" t="s">
        <v>396</v>
      </c>
      <c r="C24" s="13" t="s">
        <v>459</v>
      </c>
      <c r="D24" s="13">
        <v>1</v>
      </c>
      <c r="E24" s="13" t="s">
        <v>455</v>
      </c>
      <c r="F24" s="24" t="s">
        <v>455</v>
      </c>
      <c r="G24" s="13">
        <f t="shared" si="7"/>
        <v>1</v>
      </c>
      <c r="H24" s="24">
        <v>1</v>
      </c>
      <c r="I24" s="12" t="s">
        <v>491</v>
      </c>
      <c r="J24" s="30"/>
    </row>
    <row r="25" ht="15">
      <c r="A25" s="29" t="s">
        <v>492</v>
      </c>
      <c r="B25" s="12" t="s">
        <v>396</v>
      </c>
      <c r="C25" s="13" t="s">
        <v>459</v>
      </c>
      <c r="D25" s="13">
        <v>2</v>
      </c>
      <c r="E25" s="13" t="s">
        <v>453</v>
      </c>
      <c r="F25" s="24" t="s">
        <v>453</v>
      </c>
      <c r="G25" s="13">
        <f t="shared" si="7"/>
        <v>1</v>
      </c>
      <c r="H25" s="24">
        <v>2</v>
      </c>
      <c r="I25" s="12"/>
      <c r="J25" s="30"/>
    </row>
    <row r="26" ht="15">
      <c r="A26" s="29" t="s">
        <v>493</v>
      </c>
      <c r="B26" s="12" t="s">
        <v>396</v>
      </c>
      <c r="C26" s="13" t="s">
        <v>459</v>
      </c>
      <c r="D26" s="13">
        <v>3</v>
      </c>
      <c r="E26" s="13" t="s">
        <v>453</v>
      </c>
      <c r="F26" s="24" t="s">
        <v>453</v>
      </c>
      <c r="G26" s="13">
        <f t="shared" si="7"/>
        <v>1</v>
      </c>
      <c r="H26" s="24">
        <v>5</v>
      </c>
      <c r="I26" s="12"/>
      <c r="J26" s="30"/>
    </row>
    <row r="27" ht="15">
      <c r="A27" s="29" t="s">
        <v>494</v>
      </c>
      <c r="B27" s="12" t="s">
        <v>396</v>
      </c>
      <c r="C27" s="13" t="s">
        <v>464</v>
      </c>
      <c r="D27" s="13">
        <v>1</v>
      </c>
      <c r="E27" s="13" t="s">
        <v>453</v>
      </c>
      <c r="F27" s="24" t="s">
        <v>455</v>
      </c>
      <c r="G27" s="13">
        <f t="shared" si="7"/>
        <v>0</v>
      </c>
      <c r="H27" s="24">
        <v>4</v>
      </c>
      <c r="I27" s="12" t="s">
        <v>495</v>
      </c>
      <c r="J27" s="30"/>
    </row>
    <row r="28" ht="15">
      <c r="A28" s="29" t="s">
        <v>496</v>
      </c>
      <c r="B28" s="12" t="s">
        <v>396</v>
      </c>
      <c r="C28" s="13" t="s">
        <v>464</v>
      </c>
      <c r="D28" s="13">
        <v>2</v>
      </c>
      <c r="E28" s="13" t="s">
        <v>453</v>
      </c>
      <c r="F28" s="24" t="s">
        <v>453</v>
      </c>
      <c r="G28" s="13">
        <f t="shared" si="7"/>
        <v>1</v>
      </c>
      <c r="H28" s="24">
        <v>1</v>
      </c>
      <c r="I28" s="12"/>
      <c r="J28" s="30"/>
    </row>
    <row r="29" ht="15">
      <c r="A29" s="29" t="s">
        <v>497</v>
      </c>
      <c r="B29" s="12" t="s">
        <v>396</v>
      </c>
      <c r="C29" s="13" t="s">
        <v>464</v>
      </c>
      <c r="D29" s="13">
        <v>3</v>
      </c>
      <c r="E29" s="13" t="s">
        <v>455</v>
      </c>
      <c r="F29" s="24" t="s">
        <v>455</v>
      </c>
      <c r="G29" s="13">
        <f t="shared" si="7"/>
        <v>1</v>
      </c>
      <c r="H29" s="24">
        <v>2</v>
      </c>
      <c r="I29" s="12" t="s">
        <v>498</v>
      </c>
      <c r="J29" s="30"/>
    </row>
    <row r="30" ht="15">
      <c r="A30" s="29" t="s">
        <v>499</v>
      </c>
      <c r="B30" s="12" t="s">
        <v>396</v>
      </c>
      <c r="C30" s="13" t="s">
        <v>470</v>
      </c>
      <c r="D30" s="13">
        <v>1</v>
      </c>
      <c r="E30" s="13" t="s">
        <v>455</v>
      </c>
      <c r="F30" s="24" t="s">
        <v>455</v>
      </c>
      <c r="G30" s="13">
        <f t="shared" si="7"/>
        <v>1</v>
      </c>
      <c r="H30" s="24">
        <v>4</v>
      </c>
      <c r="I30" s="12" t="s">
        <v>500</v>
      </c>
      <c r="J30" s="30"/>
    </row>
    <row r="31" ht="15">
      <c r="A31" s="29" t="s">
        <v>501</v>
      </c>
      <c r="B31" s="12" t="s">
        <v>396</v>
      </c>
      <c r="C31" s="13" t="s">
        <v>470</v>
      </c>
      <c r="D31" s="13">
        <v>2</v>
      </c>
      <c r="E31" s="13" t="s">
        <v>453</v>
      </c>
      <c r="F31" s="24" t="s">
        <v>453</v>
      </c>
      <c r="G31" s="13">
        <f t="shared" si="7"/>
        <v>1</v>
      </c>
      <c r="H31" s="24">
        <v>1</v>
      </c>
      <c r="I31" s="12"/>
      <c r="J31" s="30"/>
    </row>
    <row r="32" ht="15">
      <c r="A32" s="29" t="s">
        <v>502</v>
      </c>
      <c r="B32" s="12" t="s">
        <v>396</v>
      </c>
      <c r="C32" s="13" t="s">
        <v>470</v>
      </c>
      <c r="D32" s="13">
        <v>3</v>
      </c>
      <c r="E32" s="13" t="s">
        <v>455</v>
      </c>
      <c r="F32" s="24" t="s">
        <v>455</v>
      </c>
      <c r="G32" s="13">
        <f t="shared" si="7"/>
        <v>1</v>
      </c>
      <c r="H32" s="24">
        <v>2</v>
      </c>
      <c r="I32" s="12" t="s">
        <v>503</v>
      </c>
      <c r="J32" s="30"/>
    </row>
    <row r="33" ht="15">
      <c r="A33" s="29" t="s">
        <v>504</v>
      </c>
      <c r="B33" s="12" t="s">
        <v>396</v>
      </c>
      <c r="C33" s="13" t="s">
        <v>477</v>
      </c>
      <c r="D33" s="13">
        <v>1</v>
      </c>
      <c r="E33" s="13" t="s">
        <v>455</v>
      </c>
      <c r="F33" s="24" t="s">
        <v>455</v>
      </c>
      <c r="G33" s="13">
        <f t="shared" si="7"/>
        <v>1</v>
      </c>
      <c r="H33" s="24">
        <v>5</v>
      </c>
      <c r="I33" s="12" t="s">
        <v>505</v>
      </c>
      <c r="J33" s="30"/>
    </row>
    <row r="34" ht="15">
      <c r="A34" s="29" t="s">
        <v>506</v>
      </c>
      <c r="B34" s="12" t="s">
        <v>396</v>
      </c>
      <c r="C34" s="13" t="s">
        <v>477</v>
      </c>
      <c r="D34" s="13">
        <v>2</v>
      </c>
      <c r="E34" s="13" t="s">
        <v>455</v>
      </c>
      <c r="F34" s="24" t="s">
        <v>453</v>
      </c>
      <c r="G34" s="13">
        <f t="shared" si="7"/>
        <v>0</v>
      </c>
      <c r="H34" s="24">
        <v>5</v>
      </c>
      <c r="I34" s="12"/>
      <c r="J34" s="30"/>
    </row>
    <row r="35" ht="15">
      <c r="A35" s="29" t="s">
        <v>507</v>
      </c>
      <c r="B35" s="12" t="s">
        <v>396</v>
      </c>
      <c r="C35" s="13" t="s">
        <v>477</v>
      </c>
      <c r="D35" s="13">
        <v>3</v>
      </c>
      <c r="E35" s="13" t="s">
        <v>455</v>
      </c>
      <c r="F35" s="24" t="s">
        <v>453</v>
      </c>
      <c r="G35" s="13">
        <f t="shared" si="7"/>
        <v>0</v>
      </c>
      <c r="H35" s="24">
        <v>5</v>
      </c>
      <c r="I35" s="12"/>
      <c r="J35" s="30"/>
    </row>
    <row r="36" ht="15">
      <c r="A36" s="29" t="s">
        <v>508</v>
      </c>
      <c r="B36" s="12" t="s">
        <v>396</v>
      </c>
      <c r="C36" s="13" t="s">
        <v>477</v>
      </c>
      <c r="D36" s="13">
        <v>4</v>
      </c>
      <c r="E36" s="13" t="s">
        <v>455</v>
      </c>
      <c r="F36" s="24" t="s">
        <v>455</v>
      </c>
      <c r="G36" s="13">
        <f t="shared" si="7"/>
        <v>1</v>
      </c>
      <c r="H36" s="24">
        <v>5</v>
      </c>
      <c r="I36" s="12" t="s">
        <v>509</v>
      </c>
      <c r="J36" s="30"/>
    </row>
    <row r="37" ht="15">
      <c r="A37" s="29" t="s">
        <v>510</v>
      </c>
      <c r="B37" s="12" t="s">
        <v>397</v>
      </c>
      <c r="C37" s="13" t="s">
        <v>452</v>
      </c>
      <c r="D37" s="13">
        <v>1</v>
      </c>
      <c r="E37" s="13" t="s">
        <v>453</v>
      </c>
      <c r="F37" s="24" t="s">
        <v>453</v>
      </c>
      <c r="G37" s="13">
        <f t="shared" si="7"/>
        <v>1</v>
      </c>
      <c r="H37" s="24"/>
      <c r="I37" s="12"/>
      <c r="J37" s="30"/>
    </row>
    <row r="38" ht="15">
      <c r="A38" s="29" t="s">
        <v>511</v>
      </c>
      <c r="B38" s="12" t="s">
        <v>397</v>
      </c>
      <c r="C38" s="13" t="s">
        <v>452</v>
      </c>
      <c r="D38" s="13">
        <v>2</v>
      </c>
      <c r="E38" s="13" t="s">
        <v>455</v>
      </c>
      <c r="F38" s="24" t="s">
        <v>455</v>
      </c>
      <c r="G38" s="13">
        <f t="shared" si="7"/>
        <v>1</v>
      </c>
      <c r="H38" s="24"/>
      <c r="I38" s="12"/>
      <c r="J38" s="30"/>
    </row>
    <row r="39" ht="15">
      <c r="A39" s="29" t="s">
        <v>512</v>
      </c>
      <c r="B39" s="12" t="s">
        <v>397</v>
      </c>
      <c r="C39" s="13" t="s">
        <v>452</v>
      </c>
      <c r="D39" s="13">
        <v>3</v>
      </c>
      <c r="E39" s="13" t="s">
        <v>455</v>
      </c>
      <c r="F39" s="24" t="s">
        <v>455</v>
      </c>
      <c r="G39" s="13">
        <f t="shared" si="7"/>
        <v>1</v>
      </c>
      <c r="H39" s="24"/>
      <c r="I39" s="12" t="s">
        <v>513</v>
      </c>
      <c r="J39" s="30"/>
    </row>
    <row r="40" ht="15">
      <c r="A40" s="29" t="s">
        <v>514</v>
      </c>
      <c r="B40" s="12" t="s">
        <v>397</v>
      </c>
      <c r="C40" s="13" t="s">
        <v>459</v>
      </c>
      <c r="D40" s="13">
        <v>1</v>
      </c>
      <c r="E40" s="13" t="s">
        <v>455</v>
      </c>
      <c r="F40" s="24" t="s">
        <v>455</v>
      </c>
      <c r="G40" s="13">
        <f t="shared" si="7"/>
        <v>1</v>
      </c>
      <c r="H40" s="24"/>
      <c r="I40" s="12" t="s">
        <v>515</v>
      </c>
      <c r="J40" s="30"/>
    </row>
    <row r="41" ht="15">
      <c r="A41" s="29" t="s">
        <v>516</v>
      </c>
      <c r="B41" s="12" t="s">
        <v>397</v>
      </c>
      <c r="C41" s="13" t="s">
        <v>459</v>
      </c>
      <c r="D41" s="13">
        <v>2</v>
      </c>
      <c r="E41" s="13" t="s">
        <v>453</v>
      </c>
      <c r="F41" s="24" t="s">
        <v>453</v>
      </c>
      <c r="G41" s="13">
        <f t="shared" si="7"/>
        <v>1</v>
      </c>
      <c r="H41" s="24"/>
      <c r="I41" s="12"/>
      <c r="J41" s="30"/>
    </row>
    <row r="42" ht="15">
      <c r="A42" s="29" t="s">
        <v>517</v>
      </c>
      <c r="B42" s="12" t="s">
        <v>397</v>
      </c>
      <c r="C42" s="13" t="s">
        <v>459</v>
      </c>
      <c r="D42" s="13">
        <v>3</v>
      </c>
      <c r="E42" s="13" t="s">
        <v>453</v>
      </c>
      <c r="F42" s="24" t="s">
        <v>455</v>
      </c>
      <c r="G42" s="13">
        <f t="shared" si="7"/>
        <v>0</v>
      </c>
      <c r="H42" s="24"/>
      <c r="I42" s="12" t="s">
        <v>518</v>
      </c>
      <c r="J42" s="30"/>
    </row>
    <row r="43" ht="15">
      <c r="A43" s="29" t="s">
        <v>519</v>
      </c>
      <c r="B43" s="12" t="s">
        <v>397</v>
      </c>
      <c r="C43" s="13" t="s">
        <v>464</v>
      </c>
      <c r="D43" s="13">
        <v>1</v>
      </c>
      <c r="E43" s="13" t="s">
        <v>453</v>
      </c>
      <c r="F43" s="24" t="s">
        <v>453</v>
      </c>
      <c r="G43" s="13">
        <f t="shared" si="7"/>
        <v>1</v>
      </c>
      <c r="H43" s="24"/>
      <c r="I43" s="12"/>
      <c r="J43" s="30"/>
    </row>
    <row r="44" ht="15">
      <c r="A44" s="29" t="s">
        <v>520</v>
      </c>
      <c r="B44" s="12" t="s">
        <v>397</v>
      </c>
      <c r="C44" s="13" t="s">
        <v>464</v>
      </c>
      <c r="D44" s="13">
        <v>2</v>
      </c>
      <c r="E44" s="13" t="s">
        <v>453</v>
      </c>
      <c r="F44" s="24" t="s">
        <v>453</v>
      </c>
      <c r="G44" s="13">
        <f t="shared" si="7"/>
        <v>1</v>
      </c>
      <c r="H44" s="24"/>
      <c r="I44" s="12"/>
      <c r="J44" s="30"/>
    </row>
    <row r="45" ht="15">
      <c r="A45" s="29" t="s">
        <v>521</v>
      </c>
      <c r="B45" s="12" t="s">
        <v>397</v>
      </c>
      <c r="C45" s="13" t="s">
        <v>464</v>
      </c>
      <c r="D45" s="13">
        <v>3</v>
      </c>
      <c r="E45" s="13" t="s">
        <v>455</v>
      </c>
      <c r="F45" s="24" t="s">
        <v>455</v>
      </c>
      <c r="G45" s="13">
        <f t="shared" si="7"/>
        <v>1</v>
      </c>
      <c r="H45" s="24"/>
      <c r="I45" s="12" t="s">
        <v>522</v>
      </c>
      <c r="J45" s="30"/>
    </row>
    <row r="46" ht="15">
      <c r="A46" s="29" t="s">
        <v>523</v>
      </c>
      <c r="B46" s="12" t="s">
        <v>397</v>
      </c>
      <c r="C46" s="13" t="s">
        <v>470</v>
      </c>
      <c r="D46" s="13">
        <v>1</v>
      </c>
      <c r="E46" s="13" t="s">
        <v>455</v>
      </c>
      <c r="F46" s="24" t="s">
        <v>455</v>
      </c>
      <c r="G46" s="13">
        <f t="shared" si="7"/>
        <v>1</v>
      </c>
      <c r="H46" s="24"/>
      <c r="I46" s="12" t="s">
        <v>524</v>
      </c>
      <c r="J46" s="30"/>
    </row>
    <row r="47" ht="15">
      <c r="A47" s="29" t="s">
        <v>525</v>
      </c>
      <c r="B47" s="12" t="s">
        <v>397</v>
      </c>
      <c r="C47" s="13" t="s">
        <v>470</v>
      </c>
      <c r="D47" s="13">
        <v>2</v>
      </c>
      <c r="E47" s="13" t="s">
        <v>453</v>
      </c>
      <c r="F47" s="24" t="s">
        <v>453</v>
      </c>
      <c r="G47" s="13">
        <f t="shared" si="7"/>
        <v>1</v>
      </c>
      <c r="H47" s="24"/>
      <c r="I47" s="12"/>
      <c r="J47" s="30"/>
    </row>
    <row r="48" ht="23.850000000000001">
      <c r="A48" s="29" t="s">
        <v>526</v>
      </c>
      <c r="B48" s="12" t="s">
        <v>397</v>
      </c>
      <c r="C48" s="13" t="s">
        <v>470</v>
      </c>
      <c r="D48" s="13">
        <v>3</v>
      </c>
      <c r="E48" s="13" t="s">
        <v>455</v>
      </c>
      <c r="F48" s="24" t="s">
        <v>453</v>
      </c>
      <c r="G48" s="13">
        <f t="shared" si="7"/>
        <v>0</v>
      </c>
      <c r="H48" s="24"/>
      <c r="I48" s="12" t="s">
        <v>527</v>
      </c>
      <c r="J48" s="30"/>
    </row>
    <row r="49" ht="15">
      <c r="A49" s="29" t="s">
        <v>528</v>
      </c>
      <c r="B49" s="12" t="s">
        <v>397</v>
      </c>
      <c r="C49" s="13" t="s">
        <v>477</v>
      </c>
      <c r="D49" s="13">
        <v>1</v>
      </c>
      <c r="E49" s="13" t="s">
        <v>455</v>
      </c>
      <c r="F49" s="24" t="s">
        <v>455</v>
      </c>
      <c r="G49" s="13">
        <f t="shared" si="7"/>
        <v>1</v>
      </c>
      <c r="H49" s="24"/>
      <c r="I49" s="12"/>
      <c r="J49" s="30"/>
    </row>
    <row r="50" ht="15">
      <c r="A50" s="29" t="s">
        <v>529</v>
      </c>
      <c r="B50" s="12" t="s">
        <v>397</v>
      </c>
      <c r="C50" s="13" t="s">
        <v>477</v>
      </c>
      <c r="D50" s="13">
        <v>2</v>
      </c>
      <c r="E50" s="13" t="s">
        <v>455</v>
      </c>
      <c r="F50" s="24" t="s">
        <v>453</v>
      </c>
      <c r="G50" s="13">
        <f t="shared" si="7"/>
        <v>0</v>
      </c>
      <c r="H50" s="24"/>
      <c r="I50" s="12"/>
      <c r="J50" s="30" t="s">
        <v>530</v>
      </c>
    </row>
    <row r="51" ht="15">
      <c r="A51" s="29" t="s">
        <v>531</v>
      </c>
      <c r="B51" s="12" t="s">
        <v>397</v>
      </c>
      <c r="C51" s="13" t="s">
        <v>477</v>
      </c>
      <c r="D51" s="13">
        <v>3</v>
      </c>
      <c r="E51" s="13" t="s">
        <v>455</v>
      </c>
      <c r="F51" s="24" t="s">
        <v>453</v>
      </c>
      <c r="G51" s="13">
        <f t="shared" si="7"/>
        <v>0</v>
      </c>
      <c r="H51" s="24"/>
      <c r="I51" s="12"/>
      <c r="J51" s="30"/>
    </row>
    <row r="52" ht="15">
      <c r="A52" s="29" t="s">
        <v>532</v>
      </c>
      <c r="B52" s="12" t="s">
        <v>397</v>
      </c>
      <c r="C52" s="13" t="s">
        <v>477</v>
      </c>
      <c r="D52" s="13">
        <v>4</v>
      </c>
      <c r="E52" s="13" t="s">
        <v>455</v>
      </c>
      <c r="F52" s="24" t="s">
        <v>453</v>
      </c>
      <c r="G52" s="13">
        <f t="shared" si="7"/>
        <v>0</v>
      </c>
      <c r="H52" s="24"/>
      <c r="I52" s="12"/>
      <c r="J52" s="30"/>
    </row>
    <row r="53" ht="15">
      <c r="A53" s="29" t="s">
        <v>533</v>
      </c>
      <c r="B53" s="12" t="s">
        <v>398</v>
      </c>
      <c r="C53" s="13" t="s">
        <v>452</v>
      </c>
      <c r="D53" s="13">
        <v>1</v>
      </c>
      <c r="E53" s="13" t="s">
        <v>453</v>
      </c>
      <c r="F53" s="24" t="s">
        <v>453</v>
      </c>
      <c r="G53" s="13">
        <f t="shared" si="7"/>
        <v>1</v>
      </c>
      <c r="H53" s="24">
        <v>1</v>
      </c>
      <c r="I53" s="12"/>
      <c r="J53" s="30"/>
    </row>
    <row r="54" ht="15">
      <c r="A54" s="29" t="s">
        <v>534</v>
      </c>
      <c r="B54" s="12" t="s">
        <v>398</v>
      </c>
      <c r="C54" s="13" t="s">
        <v>452</v>
      </c>
      <c r="D54" s="13">
        <v>2</v>
      </c>
      <c r="E54" s="13" t="s">
        <v>455</v>
      </c>
      <c r="F54" s="24" t="s">
        <v>455</v>
      </c>
      <c r="G54" s="13">
        <f t="shared" si="7"/>
        <v>1</v>
      </c>
      <c r="H54" s="24">
        <v>1</v>
      </c>
      <c r="I54" s="12"/>
      <c r="J54" s="30"/>
    </row>
    <row r="55" ht="15">
      <c r="A55" s="29" t="s">
        <v>535</v>
      </c>
      <c r="B55" s="12" t="s">
        <v>398</v>
      </c>
      <c r="C55" s="13" t="s">
        <v>452</v>
      </c>
      <c r="D55" s="13">
        <v>3</v>
      </c>
      <c r="E55" s="13" t="s">
        <v>455</v>
      </c>
      <c r="F55" s="24" t="s">
        <v>455</v>
      </c>
      <c r="G55" s="13">
        <f t="shared" si="7"/>
        <v>1</v>
      </c>
      <c r="H55" s="24">
        <v>1</v>
      </c>
      <c r="I55" s="12"/>
      <c r="J55" s="30"/>
    </row>
    <row r="56" ht="15">
      <c r="A56" s="29" t="s">
        <v>536</v>
      </c>
      <c r="B56" s="12" t="s">
        <v>398</v>
      </c>
      <c r="C56" s="13" t="s">
        <v>459</v>
      </c>
      <c r="D56" s="13">
        <v>1</v>
      </c>
      <c r="E56" s="13" t="s">
        <v>455</v>
      </c>
      <c r="F56" s="24" t="s">
        <v>455</v>
      </c>
      <c r="G56" s="13">
        <f t="shared" si="7"/>
        <v>1</v>
      </c>
      <c r="H56" s="24">
        <v>2</v>
      </c>
      <c r="I56" s="12" t="s">
        <v>537</v>
      </c>
      <c r="J56" s="30"/>
    </row>
    <row r="57" ht="15">
      <c r="A57" s="29" t="s">
        <v>538</v>
      </c>
      <c r="B57" s="12" t="s">
        <v>398</v>
      </c>
      <c r="C57" s="13" t="s">
        <v>459</v>
      </c>
      <c r="D57" s="13">
        <v>2</v>
      </c>
      <c r="E57" s="13" t="s">
        <v>453</v>
      </c>
      <c r="F57" s="24" t="s">
        <v>453</v>
      </c>
      <c r="G57" s="13">
        <f t="shared" si="7"/>
        <v>1</v>
      </c>
      <c r="H57" s="24">
        <v>2</v>
      </c>
      <c r="I57" s="12"/>
      <c r="J57" s="30"/>
    </row>
    <row r="58" ht="23.850000000000001">
      <c r="A58" s="29" t="s">
        <v>539</v>
      </c>
      <c r="B58" s="12" t="s">
        <v>398</v>
      </c>
      <c r="C58" s="13" t="s">
        <v>459</v>
      </c>
      <c r="D58" s="13">
        <v>3</v>
      </c>
      <c r="E58" s="13" t="s">
        <v>453</v>
      </c>
      <c r="F58" s="24" t="s">
        <v>455</v>
      </c>
      <c r="G58" s="13">
        <f t="shared" si="7"/>
        <v>0</v>
      </c>
      <c r="H58" s="24">
        <v>3</v>
      </c>
      <c r="I58" s="12" t="s">
        <v>540</v>
      </c>
      <c r="J58" s="30" t="s">
        <v>541</v>
      </c>
    </row>
    <row r="59" ht="15">
      <c r="A59" s="29" t="s">
        <v>542</v>
      </c>
      <c r="B59" s="12" t="s">
        <v>398</v>
      </c>
      <c r="C59" s="13" t="s">
        <v>464</v>
      </c>
      <c r="D59" s="13">
        <v>1</v>
      </c>
      <c r="E59" s="13" t="s">
        <v>453</v>
      </c>
      <c r="F59" s="24" t="s">
        <v>455</v>
      </c>
      <c r="G59" s="13">
        <f t="shared" si="7"/>
        <v>0</v>
      </c>
      <c r="H59" s="24">
        <v>3</v>
      </c>
      <c r="I59" s="12" t="s">
        <v>543</v>
      </c>
      <c r="J59" s="30"/>
    </row>
    <row r="60" ht="15">
      <c r="A60" s="29" t="s">
        <v>544</v>
      </c>
      <c r="B60" s="12" t="s">
        <v>398</v>
      </c>
      <c r="C60" s="13" t="s">
        <v>464</v>
      </c>
      <c r="D60" s="13">
        <v>2</v>
      </c>
      <c r="E60" s="13" t="s">
        <v>453</v>
      </c>
      <c r="F60" s="24" t="s">
        <v>453</v>
      </c>
      <c r="G60" s="13">
        <f t="shared" si="7"/>
        <v>1</v>
      </c>
      <c r="H60" s="24">
        <v>3</v>
      </c>
      <c r="I60" s="12"/>
      <c r="J60" s="30"/>
    </row>
    <row r="61" ht="15">
      <c r="A61" s="29" t="s">
        <v>545</v>
      </c>
      <c r="B61" s="12" t="s">
        <v>398</v>
      </c>
      <c r="C61" s="13" t="s">
        <v>464</v>
      </c>
      <c r="D61" s="13">
        <v>3</v>
      </c>
      <c r="E61" s="13" t="s">
        <v>455</v>
      </c>
      <c r="F61" s="24" t="s">
        <v>455</v>
      </c>
      <c r="G61" s="13">
        <f t="shared" si="7"/>
        <v>1</v>
      </c>
      <c r="H61" s="24">
        <v>3</v>
      </c>
      <c r="I61" s="12" t="s">
        <v>546</v>
      </c>
      <c r="J61" s="30"/>
    </row>
    <row r="62" ht="15">
      <c r="A62" s="29" t="s">
        <v>547</v>
      </c>
      <c r="B62" s="12" t="s">
        <v>398</v>
      </c>
      <c r="C62" s="13" t="s">
        <v>470</v>
      </c>
      <c r="D62" s="13">
        <v>1</v>
      </c>
      <c r="E62" s="13" t="s">
        <v>455</v>
      </c>
      <c r="F62" s="24" t="s">
        <v>455</v>
      </c>
      <c r="G62" s="13">
        <f t="shared" si="7"/>
        <v>1</v>
      </c>
      <c r="H62" s="24">
        <v>3</v>
      </c>
      <c r="I62" s="12" t="s">
        <v>548</v>
      </c>
      <c r="J62" s="30"/>
    </row>
    <row r="63" ht="15">
      <c r="A63" s="29" t="s">
        <v>549</v>
      </c>
      <c r="B63" s="12" t="s">
        <v>398</v>
      </c>
      <c r="C63" s="13" t="s">
        <v>470</v>
      </c>
      <c r="D63" s="13">
        <v>2</v>
      </c>
      <c r="E63" s="13" t="s">
        <v>453</v>
      </c>
      <c r="F63" s="24" t="s">
        <v>453</v>
      </c>
      <c r="G63" s="13">
        <f t="shared" si="7"/>
        <v>1</v>
      </c>
      <c r="H63" s="24">
        <v>3</v>
      </c>
      <c r="I63" s="12"/>
      <c r="J63" s="30"/>
    </row>
    <row r="64" ht="15">
      <c r="A64" s="29" t="s">
        <v>550</v>
      </c>
      <c r="B64" s="12" t="s">
        <v>398</v>
      </c>
      <c r="C64" s="13" t="s">
        <v>470</v>
      </c>
      <c r="D64" s="13">
        <v>3</v>
      </c>
      <c r="E64" s="13" t="s">
        <v>455</v>
      </c>
      <c r="F64" s="24" t="s">
        <v>455</v>
      </c>
      <c r="G64" s="13">
        <f t="shared" si="7"/>
        <v>1</v>
      </c>
      <c r="H64" s="24">
        <v>4</v>
      </c>
      <c r="I64" s="12" t="s">
        <v>551</v>
      </c>
      <c r="J64" s="30"/>
    </row>
    <row r="65" ht="15">
      <c r="A65" s="29" t="s">
        <v>552</v>
      </c>
      <c r="B65" s="12" t="s">
        <v>398</v>
      </c>
      <c r="C65" s="13" t="s">
        <v>477</v>
      </c>
      <c r="D65" s="13">
        <v>1</v>
      </c>
      <c r="E65" s="13" t="s">
        <v>455</v>
      </c>
      <c r="F65" s="24" t="s">
        <v>455</v>
      </c>
      <c r="G65" s="13">
        <f t="shared" si="7"/>
        <v>1</v>
      </c>
      <c r="H65" s="24">
        <v>5</v>
      </c>
      <c r="I65" s="12" t="s">
        <v>553</v>
      </c>
      <c r="J65" s="30" t="s">
        <v>554</v>
      </c>
    </row>
    <row r="66" ht="15">
      <c r="A66" s="29" t="s">
        <v>555</v>
      </c>
      <c r="B66" s="12" t="s">
        <v>398</v>
      </c>
      <c r="C66" s="13" t="s">
        <v>477</v>
      </c>
      <c r="D66" s="13">
        <v>2</v>
      </c>
      <c r="E66" s="13" t="s">
        <v>455</v>
      </c>
      <c r="F66" s="24" t="s">
        <v>455</v>
      </c>
      <c r="G66" s="13">
        <f t="shared" si="7"/>
        <v>1</v>
      </c>
      <c r="H66" s="24">
        <v>5</v>
      </c>
      <c r="I66" s="12" t="s">
        <v>556</v>
      </c>
      <c r="J66" s="30"/>
    </row>
    <row r="67" ht="23.850000000000001">
      <c r="A67" s="29" t="s">
        <v>557</v>
      </c>
      <c r="B67" s="12" t="s">
        <v>398</v>
      </c>
      <c r="C67" s="13" t="s">
        <v>477</v>
      </c>
      <c r="D67" s="13">
        <v>3</v>
      </c>
      <c r="E67" s="13" t="s">
        <v>455</v>
      </c>
      <c r="F67" s="24" t="s">
        <v>453</v>
      </c>
      <c r="G67" s="13">
        <f t="shared" si="7"/>
        <v>0</v>
      </c>
      <c r="H67" s="24">
        <v>4</v>
      </c>
      <c r="I67" s="12" t="s">
        <v>558</v>
      </c>
      <c r="J67" s="30" t="s">
        <v>559</v>
      </c>
    </row>
    <row r="68" ht="15">
      <c r="A68" s="29" t="s">
        <v>560</v>
      </c>
      <c r="B68" s="12" t="s">
        <v>398</v>
      </c>
      <c r="C68" s="13" t="s">
        <v>477</v>
      </c>
      <c r="D68" s="13">
        <v>4</v>
      </c>
      <c r="E68" s="13" t="s">
        <v>455</v>
      </c>
      <c r="F68" s="24" t="s">
        <v>455</v>
      </c>
      <c r="G68" s="13">
        <f t="shared" si="7"/>
        <v>1</v>
      </c>
      <c r="H68" s="24">
        <v>5</v>
      </c>
      <c r="I68" s="12" t="s">
        <v>561</v>
      </c>
      <c r="J68" s="30"/>
    </row>
    <row r="69" ht="15">
      <c r="A69" s="29" t="s">
        <v>562</v>
      </c>
      <c r="B69" s="12" t="s">
        <v>399</v>
      </c>
      <c r="C69" s="13" t="s">
        <v>452</v>
      </c>
      <c r="D69" s="13">
        <v>1</v>
      </c>
      <c r="E69" s="13" t="s">
        <v>453</v>
      </c>
      <c r="F69" s="24" t="s">
        <v>453</v>
      </c>
      <c r="G69" s="13">
        <f t="shared" si="7"/>
        <v>1</v>
      </c>
      <c r="H69" s="24">
        <v>1</v>
      </c>
      <c r="I69" s="12"/>
      <c r="J69" s="30"/>
    </row>
    <row r="70" ht="15">
      <c r="A70" s="29" t="s">
        <v>563</v>
      </c>
      <c r="B70" s="12" t="s">
        <v>399</v>
      </c>
      <c r="C70" s="13" t="s">
        <v>452</v>
      </c>
      <c r="D70" s="13">
        <v>2</v>
      </c>
      <c r="E70" s="13" t="s">
        <v>455</v>
      </c>
      <c r="F70" s="24" t="s">
        <v>455</v>
      </c>
      <c r="G70" s="13">
        <f t="shared" si="7"/>
        <v>1</v>
      </c>
      <c r="H70" s="24">
        <v>1</v>
      </c>
      <c r="I70" s="12" t="s">
        <v>564</v>
      </c>
      <c r="J70" s="30"/>
    </row>
    <row r="71" ht="15">
      <c r="A71" s="29" t="s">
        <v>565</v>
      </c>
      <c r="B71" s="12" t="s">
        <v>399</v>
      </c>
      <c r="C71" s="13" t="s">
        <v>452</v>
      </c>
      <c r="D71" s="13">
        <v>3</v>
      </c>
      <c r="E71" s="13" t="s">
        <v>455</v>
      </c>
      <c r="F71" s="24" t="s">
        <v>455</v>
      </c>
      <c r="G71" s="13">
        <f t="shared" si="7"/>
        <v>1</v>
      </c>
      <c r="H71" s="24">
        <v>1</v>
      </c>
      <c r="I71" s="12" t="s">
        <v>566</v>
      </c>
      <c r="J71" s="30"/>
    </row>
    <row r="72" ht="15">
      <c r="A72" s="29" t="s">
        <v>567</v>
      </c>
      <c r="B72" s="12" t="s">
        <v>399</v>
      </c>
      <c r="C72" s="13" t="s">
        <v>459</v>
      </c>
      <c r="D72" s="13">
        <v>1</v>
      </c>
      <c r="E72" s="13" t="s">
        <v>455</v>
      </c>
      <c r="F72" s="24" t="s">
        <v>455</v>
      </c>
      <c r="G72" s="13">
        <f t="shared" si="7"/>
        <v>1</v>
      </c>
      <c r="H72" s="24">
        <v>2</v>
      </c>
      <c r="I72" s="12" t="s">
        <v>564</v>
      </c>
      <c r="J72" s="30"/>
    </row>
    <row r="73" ht="15">
      <c r="A73" s="29" t="s">
        <v>568</v>
      </c>
      <c r="B73" s="12" t="s">
        <v>399</v>
      </c>
      <c r="C73" s="13" t="s">
        <v>459</v>
      </c>
      <c r="D73" s="13">
        <v>2</v>
      </c>
      <c r="E73" s="13" t="s">
        <v>453</v>
      </c>
      <c r="F73" s="24" t="s">
        <v>453</v>
      </c>
      <c r="G73" s="13">
        <f t="shared" si="7"/>
        <v>1</v>
      </c>
      <c r="H73" s="24">
        <v>3</v>
      </c>
      <c r="I73" s="12"/>
      <c r="J73" s="30"/>
    </row>
    <row r="74" ht="15">
      <c r="A74" s="29" t="s">
        <v>569</v>
      </c>
      <c r="B74" s="12" t="s">
        <v>399</v>
      </c>
      <c r="C74" s="13" t="s">
        <v>459</v>
      </c>
      <c r="D74" s="13">
        <v>3</v>
      </c>
      <c r="E74" s="13" t="s">
        <v>453</v>
      </c>
      <c r="F74" s="24" t="s">
        <v>453</v>
      </c>
      <c r="G74" s="13">
        <f t="shared" ref="G74:G84" si="8">IF(F74="?","n.v.",IF(F74=E74,1,0))</f>
        <v>1</v>
      </c>
      <c r="H74" s="24">
        <v>1</v>
      </c>
      <c r="I74" s="12"/>
      <c r="J74" s="30"/>
    </row>
    <row r="75" ht="15">
      <c r="A75" s="29" t="s">
        <v>570</v>
      </c>
      <c r="B75" s="12" t="s">
        <v>399</v>
      </c>
      <c r="C75" s="13" t="s">
        <v>464</v>
      </c>
      <c r="D75" s="13">
        <v>1</v>
      </c>
      <c r="E75" s="13" t="s">
        <v>453</v>
      </c>
      <c r="F75" s="24" t="s">
        <v>453</v>
      </c>
      <c r="G75" s="13">
        <f t="shared" si="8"/>
        <v>1</v>
      </c>
      <c r="H75" s="24">
        <v>4</v>
      </c>
      <c r="I75" s="12"/>
      <c r="J75" s="30"/>
    </row>
    <row r="76" ht="15">
      <c r="A76" s="29" t="s">
        <v>571</v>
      </c>
      <c r="B76" s="12" t="s">
        <v>399</v>
      </c>
      <c r="C76" s="13" t="s">
        <v>464</v>
      </c>
      <c r="D76" s="13">
        <v>2</v>
      </c>
      <c r="E76" s="13" t="s">
        <v>453</v>
      </c>
      <c r="F76" s="24" t="s">
        <v>453</v>
      </c>
      <c r="G76" s="13">
        <f t="shared" si="8"/>
        <v>1</v>
      </c>
      <c r="H76" s="24">
        <v>2</v>
      </c>
      <c r="I76" s="12"/>
      <c r="J76" s="30"/>
    </row>
    <row r="77" ht="15">
      <c r="A77" s="29" t="s">
        <v>572</v>
      </c>
      <c r="B77" s="12" t="s">
        <v>399</v>
      </c>
      <c r="C77" s="13" t="s">
        <v>464</v>
      </c>
      <c r="D77" s="13">
        <v>3</v>
      </c>
      <c r="E77" s="13" t="s">
        <v>455</v>
      </c>
      <c r="F77" s="24" t="s">
        <v>455</v>
      </c>
      <c r="G77" s="13">
        <f t="shared" si="8"/>
        <v>1</v>
      </c>
      <c r="H77" s="24">
        <v>3</v>
      </c>
      <c r="I77" s="12" t="s">
        <v>564</v>
      </c>
      <c r="J77" s="30"/>
    </row>
    <row r="78" ht="15">
      <c r="A78" s="29" t="s">
        <v>573</v>
      </c>
      <c r="B78" s="12" t="s">
        <v>399</v>
      </c>
      <c r="C78" s="13" t="s">
        <v>470</v>
      </c>
      <c r="D78" s="13">
        <v>1</v>
      </c>
      <c r="E78" s="13" t="s">
        <v>455</v>
      </c>
      <c r="F78" s="24" t="s">
        <v>453</v>
      </c>
      <c r="G78" s="13">
        <f t="shared" si="8"/>
        <v>0</v>
      </c>
      <c r="H78" s="24">
        <v>2</v>
      </c>
      <c r="I78" s="12"/>
      <c r="J78" s="30"/>
    </row>
    <row r="79" ht="15">
      <c r="A79" s="29" t="s">
        <v>574</v>
      </c>
      <c r="B79" s="12" t="s">
        <v>399</v>
      </c>
      <c r="C79" s="13" t="s">
        <v>470</v>
      </c>
      <c r="D79" s="13">
        <v>2</v>
      </c>
      <c r="E79" s="13" t="s">
        <v>453</v>
      </c>
      <c r="F79" s="24" t="s">
        <v>453</v>
      </c>
      <c r="G79" s="13">
        <f t="shared" si="8"/>
        <v>1</v>
      </c>
      <c r="H79" s="24">
        <v>4</v>
      </c>
      <c r="I79" s="12"/>
      <c r="J79" s="30"/>
    </row>
    <row r="80" ht="23.850000000000001">
      <c r="A80" s="29" t="s">
        <v>575</v>
      </c>
      <c r="B80" s="12" t="s">
        <v>399</v>
      </c>
      <c r="C80" s="13" t="s">
        <v>470</v>
      </c>
      <c r="D80" s="13">
        <v>3</v>
      </c>
      <c r="E80" s="13" t="s">
        <v>455</v>
      </c>
      <c r="F80" s="24" t="s">
        <v>481</v>
      </c>
      <c r="G80" s="13" t="str">
        <f t="shared" si="8"/>
        <v>n.v.</v>
      </c>
      <c r="H80" s="24">
        <v>1</v>
      </c>
      <c r="I80" s="12" t="s">
        <v>576</v>
      </c>
      <c r="J80" s="30" t="s">
        <v>577</v>
      </c>
    </row>
    <row r="81" ht="15">
      <c r="A81" s="29" t="s">
        <v>578</v>
      </c>
      <c r="B81" s="12" t="s">
        <v>399</v>
      </c>
      <c r="C81" s="13" t="s">
        <v>477</v>
      </c>
      <c r="D81" s="13">
        <v>1</v>
      </c>
      <c r="E81" s="13" t="s">
        <v>455</v>
      </c>
      <c r="F81" s="24" t="s">
        <v>455</v>
      </c>
      <c r="G81" s="13">
        <f t="shared" si="8"/>
        <v>1</v>
      </c>
      <c r="H81" s="24">
        <v>5</v>
      </c>
      <c r="I81" s="12" t="s">
        <v>579</v>
      </c>
      <c r="J81" s="30"/>
    </row>
    <row r="82" ht="15">
      <c r="A82" s="29" t="s">
        <v>580</v>
      </c>
      <c r="B82" s="12" t="s">
        <v>399</v>
      </c>
      <c r="C82" s="13" t="s">
        <v>477</v>
      </c>
      <c r="D82" s="13">
        <v>2</v>
      </c>
      <c r="E82" s="13" t="s">
        <v>455</v>
      </c>
      <c r="F82" s="24" t="s">
        <v>455</v>
      </c>
      <c r="G82" s="13">
        <f t="shared" si="8"/>
        <v>1</v>
      </c>
      <c r="H82" s="24">
        <v>2</v>
      </c>
      <c r="I82" s="12" t="s">
        <v>524</v>
      </c>
      <c r="J82" s="30"/>
    </row>
    <row r="83" ht="15">
      <c r="A83" s="29" t="s">
        <v>581</v>
      </c>
      <c r="B83" s="12" t="s">
        <v>399</v>
      </c>
      <c r="C83" s="13" t="s">
        <v>477</v>
      </c>
      <c r="D83" s="13">
        <v>3</v>
      </c>
      <c r="E83" s="13" t="s">
        <v>455</v>
      </c>
      <c r="F83" s="24" t="s">
        <v>453</v>
      </c>
      <c r="G83" s="13">
        <f t="shared" si="8"/>
        <v>0</v>
      </c>
      <c r="H83" s="24">
        <v>5</v>
      </c>
      <c r="I83" s="12"/>
      <c r="J83" s="30"/>
    </row>
    <row r="84" ht="15">
      <c r="A84" s="29" t="s">
        <v>582</v>
      </c>
      <c r="B84" s="12" t="s">
        <v>399</v>
      </c>
      <c r="C84" s="13" t="s">
        <v>477</v>
      </c>
      <c r="D84" s="13">
        <v>4</v>
      </c>
      <c r="E84" s="13" t="s">
        <v>455</v>
      </c>
      <c r="F84" s="24" t="s">
        <v>453</v>
      </c>
      <c r="G84" s="13">
        <f t="shared" si="8"/>
        <v>0</v>
      </c>
      <c r="H84" s="24">
        <v>2</v>
      </c>
      <c r="I84" s="12"/>
      <c r="J84" s="30"/>
    </row>
    <row r="86" ht="15">
      <c r="A86" s="9" t="s">
        <v>583</v>
      </c>
    </row>
    <row r="87" ht="57.450000000000003">
      <c r="A87" s="10"/>
      <c r="B87" s="10" t="s">
        <v>390</v>
      </c>
      <c r="C87" s="10" t="s">
        <v>584</v>
      </c>
      <c r="D87" s="10" t="s">
        <v>585</v>
      </c>
      <c r="E87" s="10" t="s">
        <v>404</v>
      </c>
      <c r="F87" s="10" t="s">
        <v>586</v>
      </c>
      <c r="G87" s="10" t="s">
        <v>587</v>
      </c>
    </row>
    <row r="88" ht="15">
      <c r="B88" s="11" t="s">
        <v>395</v>
      </c>
      <c r="C88" s="13">
        <f t="shared" ref="C88:C92" si="9">COUNTIFS($B$5:$B$84,B88,$G$5:$G$84,"&lt;&gt;n.v.")</f>
        <v>15</v>
      </c>
      <c r="D88" s="13">
        <f t="shared" ref="D88:D92" si="10">COUNTIFS($B$5:$B$84,B88,$G$5:$G$84,1)</f>
        <v>13</v>
      </c>
      <c r="E88" s="18">
        <f t="shared" ref="E88:E99" si="11">IF(C88=0,0,D88/C88)</f>
        <v>0.866666666666667</v>
      </c>
      <c r="F88" s="13">
        <f t="shared" ref="F88:F92" si="12">COUNTIFS($B$5:$B$84,B88,$E$5:$E$84,"Reale",$F$5:$F$84,"IA")</f>
        <v>1</v>
      </c>
      <c r="G88" s="13">
        <f t="shared" ref="G88:G92" si="13">COUNTIFS($B$5:$B$84,B88,$E$5:$E$84,"IA",$F$5:$F$84,"Reale")</f>
        <v>1</v>
      </c>
    </row>
    <row r="89" ht="15">
      <c r="B89" s="11" t="s">
        <v>396</v>
      </c>
      <c r="C89" s="13">
        <f t="shared" si="9"/>
        <v>16</v>
      </c>
      <c r="D89" s="13">
        <f t="shared" si="10"/>
        <v>13</v>
      </c>
      <c r="E89" s="18">
        <f t="shared" si="11"/>
        <v>0.8125</v>
      </c>
      <c r="F89" s="13">
        <f t="shared" si="12"/>
        <v>1</v>
      </c>
      <c r="G89" s="13">
        <f t="shared" si="13"/>
        <v>2</v>
      </c>
    </row>
    <row r="90" ht="15">
      <c r="B90" s="11" t="s">
        <v>397</v>
      </c>
      <c r="C90" s="13">
        <f t="shared" si="9"/>
        <v>16</v>
      </c>
      <c r="D90" s="13">
        <f t="shared" si="10"/>
        <v>11</v>
      </c>
      <c r="E90" s="18">
        <f t="shared" si="11"/>
        <v>0.6875</v>
      </c>
      <c r="F90" s="13">
        <f t="shared" si="12"/>
        <v>1</v>
      </c>
      <c r="G90" s="13">
        <f t="shared" si="13"/>
        <v>4</v>
      </c>
    </row>
    <row r="91" ht="15">
      <c r="B91" s="11" t="s">
        <v>398</v>
      </c>
      <c r="C91" s="13">
        <f t="shared" si="9"/>
        <v>16</v>
      </c>
      <c r="D91" s="13">
        <f t="shared" si="10"/>
        <v>13</v>
      </c>
      <c r="E91" s="18">
        <f t="shared" si="11"/>
        <v>0.8125</v>
      </c>
      <c r="F91" s="13">
        <f t="shared" si="12"/>
        <v>2</v>
      </c>
      <c r="G91" s="13">
        <f t="shared" si="13"/>
        <v>1</v>
      </c>
    </row>
    <row r="92" ht="15">
      <c r="B92" s="11" t="s">
        <v>399</v>
      </c>
      <c r="C92" s="13">
        <f t="shared" si="9"/>
        <v>15</v>
      </c>
      <c r="D92" s="13">
        <f t="shared" si="10"/>
        <v>12</v>
      </c>
      <c r="E92" s="18">
        <f t="shared" si="11"/>
        <v>0.8</v>
      </c>
      <c r="F92" s="13">
        <f t="shared" si="12"/>
        <v>0</v>
      </c>
      <c r="G92" s="13">
        <f t="shared" si="13"/>
        <v>3</v>
      </c>
    </row>
    <row r="93" ht="15">
      <c r="B93" s="22" t="s">
        <v>285</v>
      </c>
      <c r="C93" s="26">
        <f>SUM(C88:C92)</f>
        <v>78</v>
      </c>
      <c r="D93" s="26">
        <f>SUM(D88:D92)</f>
        <v>62</v>
      </c>
      <c r="E93" s="31">
        <f t="shared" si="11"/>
        <v>0.794871794871795</v>
      </c>
      <c r="F93" s="26">
        <f>SUM(F88:F92)</f>
        <v>5</v>
      </c>
      <c r="G93" s="26">
        <f>SUM(G88:G92)</f>
        <v>11</v>
      </c>
    </row>
    <row r="95" ht="15">
      <c r="A95" s="9" t="s">
        <v>588</v>
      </c>
    </row>
    <row r="96" ht="35.049999999999997">
      <c r="A96" s="10"/>
      <c r="B96" s="10" t="s">
        <v>403</v>
      </c>
      <c r="C96" s="10" t="s">
        <v>584</v>
      </c>
      <c r="D96" s="10" t="s">
        <v>585</v>
      </c>
      <c r="E96" s="10" t="s">
        <v>404</v>
      </c>
      <c r="F96" s="10" t="s">
        <v>589</v>
      </c>
    </row>
    <row r="97" ht="15">
      <c r="B97" s="11" t="s">
        <v>452</v>
      </c>
      <c r="C97" s="13">
        <f t="shared" ref="C97:C99" si="14">COUNTIFS($C$5:$C$84,B97,$G$5:$G$84,"&lt;&gt;n.v.")</f>
        <v>15</v>
      </c>
      <c r="D97" s="13">
        <f t="shared" ref="D97:D99" si="15">COUNTIFS($C$5:$C$84,B97,$G$5:$G$84,1)</f>
        <v>15</v>
      </c>
      <c r="E97" s="18">
        <f t="shared" si="11"/>
        <v>1</v>
      </c>
      <c r="F97" s="17">
        <f t="shared" ref="F97:F99" si="16">IFERROR(AVERAGEIF($C$5:$C$84,B97,$H$5:$H$84),"")</f>
        <v>1</v>
      </c>
    </row>
    <row r="98" ht="15">
      <c r="B98" s="11" t="s">
        <v>459</v>
      </c>
      <c r="C98" s="13">
        <f t="shared" si="14"/>
        <v>15</v>
      </c>
      <c r="D98" s="13">
        <f t="shared" si="15"/>
        <v>13</v>
      </c>
      <c r="E98" s="18">
        <f t="shared" si="11"/>
        <v>0.866666666666667</v>
      </c>
      <c r="F98" s="17">
        <f t="shared" si="16"/>
        <v>2.16666666666667</v>
      </c>
    </row>
    <row r="99" ht="15">
      <c r="B99" s="11" t="s">
        <v>464</v>
      </c>
      <c r="C99" s="13">
        <f t="shared" si="14"/>
        <v>15</v>
      </c>
      <c r="D99" s="13">
        <f t="shared" si="15"/>
        <v>12</v>
      </c>
      <c r="E99" s="18">
        <f t="shared" si="11"/>
        <v>0.8</v>
      </c>
      <c r="F99" s="17">
        <f t="shared" si="16"/>
        <v>2.9</v>
      </c>
    </row>
    <row r="100" ht="15">
      <c r="B100" s="11" t="s">
        <v>470</v>
      </c>
      <c r="C100" s="13">
        <f t="shared" ref="C100:C101" si="17">COUNTIFS($C$5:$C$84,B100,$G$5:$G$84,"&lt;&gt;n.v.")</f>
        <v>14</v>
      </c>
      <c r="D100" s="13">
        <f t="shared" ref="D100:D101" si="18">COUNTIFS($C$5:$C$84,B100,$G$5:$G$84,1)</f>
        <v>12</v>
      </c>
      <c r="E100" s="18">
        <f t="shared" ref="E100:E101" si="19">IF(C100=0,0,D100/C100)</f>
        <v>0.857142857142857</v>
      </c>
      <c r="F100" s="17">
        <f t="shared" ref="F100:F101" si="20">IFERROR(AVERAGEIF($C$5:$C$84,B100,$H$5:$H$84),"")</f>
        <v>3.25</v>
      </c>
    </row>
    <row r="101" ht="15">
      <c r="B101" s="11" t="s">
        <v>477</v>
      </c>
      <c r="C101" s="13">
        <f t="shared" si="17"/>
        <v>19</v>
      </c>
      <c r="D101" s="13">
        <f t="shared" si="18"/>
        <v>10</v>
      </c>
      <c r="E101" s="18">
        <f t="shared" si="19"/>
        <v>0.526315789473684</v>
      </c>
      <c r="F101" s="17">
        <f t="shared" si="20"/>
        <v>4.53333333333333</v>
      </c>
    </row>
  </sheetData>
  <autoFilter ref="A4:J84"/>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2" aboveAverage="0" operator="equal" rank="0" text="">
            <xm:f>1</xm:f>
            <x14:dxf>
              <fill>
                <patternFill patternType="solid">
                  <fgColor rgb="FFD8EFD8"/>
                  <bgColor rgb="FFD8EFD8"/>
                </patternFill>
              </fill>
            </x14:dxf>
          </x14:cfRule>
          <xm:sqref>G5:G84</xm:sqref>
        </x14:conditionalFormatting>
        <x14:conditionalFormatting xmlns:xm="http://schemas.microsoft.com/office/excel/2006/main">
          <x14:cfRule type="cellIs" priority="3" aboveAverage="0" operator="equal" rank="0" text="">
            <xm:f>0</xm:f>
            <x14:dxf>
              <fill>
                <patternFill patternType="solid">
                  <fgColor rgb="FFF6D5D5"/>
                  <bgColor rgb="FFF6D5D5"/>
                </patternFill>
              </fill>
            </x14:dxf>
          </x14:cfRule>
          <xm:sqref>G5:G84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8"/>
    <col customWidth="1" min="2" max="2" style="0" width="6"/>
    <col customWidth="1" min="3" max="3" style="0" width="10"/>
    <col customWidth="1" min="4" max="6" style="0" width="11"/>
    <col customWidth="1" min="7" max="9" style="0" width="12"/>
    <col customWidth="1" min="10" max="11" style="0" width="10"/>
    <col customWidth="1" min="12" max="12" style="0" width="60"/>
  </cols>
  <sheetData>
    <row r="1" ht="17.350000000000001">
      <c r="A1" s="7" t="s">
        <v>590</v>
      </c>
    </row>
    <row r="2" ht="15">
      <c r="A2" s="8" t="s">
        <v>591</v>
      </c>
    </row>
    <row r="4" ht="23.850000000000001">
      <c r="A4" s="10" t="s">
        <v>403</v>
      </c>
      <c r="B4" s="10" t="s">
        <v>444</v>
      </c>
      <c r="C4" s="10" t="s">
        <v>445</v>
      </c>
      <c r="D4" s="10" t="s">
        <v>395</v>
      </c>
      <c r="E4" s="10" t="s">
        <v>396</v>
      </c>
      <c r="F4" s="10" t="s">
        <v>397</v>
      </c>
      <c r="G4" s="10" t="s">
        <v>398</v>
      </c>
      <c r="H4" s="10" t="s">
        <v>399</v>
      </c>
      <c r="I4" s="10" t="s">
        <v>592</v>
      </c>
      <c r="J4" s="10" t="s">
        <v>584</v>
      </c>
      <c r="K4" s="10" t="s">
        <v>593</v>
      </c>
      <c r="L4" s="10" t="s">
        <v>594</v>
      </c>
    </row>
    <row r="5" ht="15">
      <c r="A5" s="32" t="s">
        <v>452</v>
      </c>
      <c r="B5" s="13">
        <v>1</v>
      </c>
      <c r="C5" s="33" t="s">
        <v>453</v>
      </c>
      <c r="D5" s="13" t="str">
        <f>INDEX('F1 Foto (dati)'!$F$5:$F$84,MATCH("TON|L0|1",'F1 Foto (dati)'!$A$5:$A$84,0))</f>
        <v>Reale</v>
      </c>
      <c r="E5" s="13" t="str">
        <f>INDEX('F1 Foto (dati)'!$F$5:$F$84,MATCH("DIV|L0|1",'F1 Foto (dati)'!$A$5:$A$84,0))</f>
        <v>Reale</v>
      </c>
      <c r="F5" s="13" t="str">
        <f>INDEX('F1 Foto (dati)'!$F$5:$F$84,MATCH("BIS|L0|1",'F1 Foto (dati)'!$A$5:$A$84,0))</f>
        <v>Reale</v>
      </c>
      <c r="G5" s="13" t="str">
        <f>INDEX('F1 Foto (dati)'!$F$5:$F$84,MATCH("PAS|L0|1",'F1 Foto (dati)'!$A$5:$A$84,0))</f>
        <v>Reale</v>
      </c>
      <c r="H5" s="13" t="str">
        <f>INDEX('F1 Foto (dati)'!$F$5:$F$84,MATCH("DRE|L0|1",'F1 Foto (dati)'!$A$5:$A$84,0))</f>
        <v>Reale</v>
      </c>
      <c r="I5" s="13">
        <f>COUNTIFS('F1 Foto (dati)'!$C$5:$C$84,A5,'F1 Foto (dati)'!$D$5:$D$84,B5,'F1 Foto (dati)'!$G$5:$G$84,1)</f>
        <v>5</v>
      </c>
      <c r="J5" s="13">
        <f>COUNTIFS('F1 Foto (dati)'!$C$5:$C$84,A5,'F1 Foto (dati)'!$D$5:$D$84,B5,'F1 Foto (dati)'!$G$5:$G$84,"&lt;&gt;n.v.")</f>
        <v>5</v>
      </c>
      <c r="K5" s="18">
        <f t="shared" ref="K5:K9" si="21">IF(J5=0,0,I5/J5)</f>
        <v>1</v>
      </c>
      <c r="L5" s="12"/>
    </row>
    <row r="6" ht="15">
      <c r="A6" s="32" t="s">
        <v>452</v>
      </c>
      <c r="B6" s="13">
        <v>2</v>
      </c>
      <c r="C6" s="33" t="s">
        <v>455</v>
      </c>
      <c r="D6" s="13" t="str">
        <f>INDEX('F1 Foto (dati)'!$F$5:$F$84,MATCH("TON|L0|2",'F1 Foto (dati)'!$A$5:$A$84,0))</f>
        <v>IA</v>
      </c>
      <c r="E6" s="13" t="str">
        <f>INDEX('F1 Foto (dati)'!$F$5:$F$84,MATCH("DIV|L0|2",'F1 Foto (dati)'!$A$5:$A$84,0))</f>
        <v>IA</v>
      </c>
      <c r="F6" s="13" t="str">
        <f>INDEX('F1 Foto (dati)'!$F$5:$F$84,MATCH("BIS|L0|2",'F1 Foto (dati)'!$A$5:$A$84,0))</f>
        <v>IA</v>
      </c>
      <c r="G6" s="13" t="str">
        <f>INDEX('F1 Foto (dati)'!$F$5:$F$84,MATCH("PAS|L0|2",'F1 Foto (dati)'!$A$5:$A$84,0))</f>
        <v>IA</v>
      </c>
      <c r="H6" s="13" t="str">
        <f>INDEX('F1 Foto (dati)'!$F$5:$F$84,MATCH("DRE|L0|2",'F1 Foto (dati)'!$A$5:$A$84,0))</f>
        <v>IA</v>
      </c>
      <c r="I6" s="13">
        <f>COUNTIFS('F1 Foto (dati)'!$C$5:$C$84,A6,'F1 Foto (dati)'!$D$5:$D$84,B6,'F1 Foto (dati)'!$G$5:$G$84,1)</f>
        <v>5</v>
      </c>
      <c r="J6" s="13">
        <f>COUNTIFS('F1 Foto (dati)'!$C$5:$C$84,A6,'F1 Foto (dati)'!$D$5:$D$84,B6,'F1 Foto (dati)'!$G$5:$G$84,"&lt;&gt;n.v.")</f>
        <v>5</v>
      </c>
      <c r="K6" s="18">
        <f t="shared" si="21"/>
        <v>1</v>
      </c>
      <c r="L6" s="12"/>
    </row>
    <row r="7" ht="15">
      <c r="A7" s="32" t="s">
        <v>452</v>
      </c>
      <c r="B7" s="13">
        <v>3</v>
      </c>
      <c r="C7" s="33" t="s">
        <v>455</v>
      </c>
      <c r="D7" s="13" t="str">
        <f>INDEX('F1 Foto (dati)'!$F$5:$F$84,MATCH("TON|L0|3",'F1 Foto (dati)'!$A$5:$A$84,0))</f>
        <v>IA</v>
      </c>
      <c r="E7" s="13" t="str">
        <f>INDEX('F1 Foto (dati)'!$F$5:$F$84,MATCH("DIV|L0|3",'F1 Foto (dati)'!$A$5:$A$84,0))</f>
        <v>IA</v>
      </c>
      <c r="F7" s="13" t="str">
        <f>INDEX('F1 Foto (dati)'!$F$5:$F$84,MATCH("BIS|L0|3",'F1 Foto (dati)'!$A$5:$A$84,0))</f>
        <v>IA</v>
      </c>
      <c r="G7" s="13" t="str">
        <f>INDEX('F1 Foto (dati)'!$F$5:$F$84,MATCH("PAS|L0|3",'F1 Foto (dati)'!$A$5:$A$84,0))</f>
        <v>IA</v>
      </c>
      <c r="H7" s="13" t="str">
        <f>INDEX('F1 Foto (dati)'!$F$5:$F$84,MATCH("DRE|L0|3",'F1 Foto (dati)'!$A$5:$A$84,0))</f>
        <v>IA</v>
      </c>
      <c r="I7" s="13">
        <f>COUNTIFS('F1 Foto (dati)'!$C$5:$C$84,A7,'F1 Foto (dati)'!$D$5:$D$84,B7,'F1 Foto (dati)'!$G$5:$G$84,1)</f>
        <v>5</v>
      </c>
      <c r="J7" s="13">
        <f>COUNTIFS('F1 Foto (dati)'!$C$5:$C$84,A7,'F1 Foto (dati)'!$D$5:$D$84,B7,'F1 Foto (dati)'!$G$5:$G$84,"&lt;&gt;n.v.")</f>
        <v>5</v>
      </c>
      <c r="K7" s="18">
        <f t="shared" si="21"/>
        <v>1</v>
      </c>
      <c r="L7" s="12"/>
    </row>
    <row r="8" ht="15">
      <c r="A8" s="32" t="s">
        <v>459</v>
      </c>
      <c r="B8" s="13">
        <v>1</v>
      </c>
      <c r="C8" s="33" t="s">
        <v>455</v>
      </c>
      <c r="D8" s="13" t="str">
        <f>INDEX('F1 Foto (dati)'!$F$5:$F$84,MATCH("TON|L1|1",'F1 Foto (dati)'!$A$5:$A$84,0))</f>
        <v>IA</v>
      </c>
      <c r="E8" s="13" t="str">
        <f>INDEX('F1 Foto (dati)'!$F$5:$F$84,MATCH("DIV|L1|1",'F1 Foto (dati)'!$A$5:$A$84,0))</f>
        <v>IA</v>
      </c>
      <c r="F8" s="13" t="str">
        <f>INDEX('F1 Foto (dati)'!$F$5:$F$84,MATCH("BIS|L1|1",'F1 Foto (dati)'!$A$5:$A$84,0))</f>
        <v>IA</v>
      </c>
      <c r="G8" s="13" t="str">
        <f>INDEX('F1 Foto (dati)'!$F$5:$F$84,MATCH("PAS|L1|1",'F1 Foto (dati)'!$A$5:$A$84,0))</f>
        <v>IA</v>
      </c>
      <c r="H8" s="13" t="str">
        <f>INDEX('F1 Foto (dati)'!$F$5:$F$84,MATCH("DRE|L1|1",'F1 Foto (dati)'!$A$5:$A$84,0))</f>
        <v>IA</v>
      </c>
      <c r="I8" s="13">
        <f>COUNTIFS('F1 Foto (dati)'!$C$5:$C$84,A8,'F1 Foto (dati)'!$D$5:$D$84,B8,'F1 Foto (dati)'!$G$5:$G$84,1)</f>
        <v>5</v>
      </c>
      <c r="J8" s="13">
        <f>COUNTIFS('F1 Foto (dati)'!$C$5:$C$84,A8,'F1 Foto (dati)'!$D$5:$D$84,B8,'F1 Foto (dati)'!$G$5:$G$84,"&lt;&gt;n.v.")</f>
        <v>5</v>
      </c>
      <c r="K8" s="18">
        <f t="shared" si="21"/>
        <v>1</v>
      </c>
      <c r="L8" s="12"/>
    </row>
    <row r="9" ht="15">
      <c r="A9" s="32" t="s">
        <v>459</v>
      </c>
      <c r="B9" s="13">
        <v>2</v>
      </c>
      <c r="C9" s="33" t="s">
        <v>453</v>
      </c>
      <c r="D9" s="13" t="str">
        <f>INDEX('F1 Foto (dati)'!$F$5:$F$84,MATCH("TON|L1|2",'F1 Foto (dati)'!$A$5:$A$84,0))</f>
        <v>Reale</v>
      </c>
      <c r="E9" s="13" t="str">
        <f>INDEX('F1 Foto (dati)'!$F$5:$F$84,MATCH("DIV|L1|2",'F1 Foto (dati)'!$A$5:$A$84,0))</f>
        <v>Reale</v>
      </c>
      <c r="F9" s="13" t="str">
        <f>INDEX('F1 Foto (dati)'!$F$5:$F$84,MATCH("BIS|L1|2",'F1 Foto (dati)'!$A$5:$A$84,0))</f>
        <v>Reale</v>
      </c>
      <c r="G9" s="13" t="str">
        <f>INDEX('F1 Foto (dati)'!$F$5:$F$84,MATCH("PAS|L1|2",'F1 Foto (dati)'!$A$5:$A$84,0))</f>
        <v>Reale</v>
      </c>
      <c r="H9" s="13" t="str">
        <f>INDEX('F1 Foto (dati)'!$F$5:$F$84,MATCH("DRE|L1|2",'F1 Foto (dati)'!$A$5:$A$84,0))</f>
        <v>Reale</v>
      </c>
      <c r="I9" s="13">
        <f>COUNTIFS('F1 Foto (dati)'!$C$5:$C$84,A9,'F1 Foto (dati)'!$D$5:$D$84,B9,'F1 Foto (dati)'!$G$5:$G$84,1)</f>
        <v>5</v>
      </c>
      <c r="J9" s="13">
        <f>COUNTIFS('F1 Foto (dati)'!$C$5:$C$84,A9,'F1 Foto (dati)'!$D$5:$D$84,B9,'F1 Foto (dati)'!$G$5:$G$84,"&lt;&gt;n.v.")</f>
        <v>5</v>
      </c>
      <c r="K9" s="18">
        <f t="shared" si="21"/>
        <v>1</v>
      </c>
      <c r="L9" s="12"/>
    </row>
    <row r="10" ht="15">
      <c r="A10" s="32" t="s">
        <v>459</v>
      </c>
      <c r="B10" s="13">
        <v>3</v>
      </c>
      <c r="C10" s="33" t="s">
        <v>453</v>
      </c>
      <c r="D10" s="13" t="str">
        <f>INDEX('F1 Foto (dati)'!$F$5:$F$84,MATCH("TON|L1|3",'F1 Foto (dati)'!$A$5:$A$84,0))</f>
        <v>Reale</v>
      </c>
      <c r="E10" s="13" t="str">
        <f>INDEX('F1 Foto (dati)'!$F$5:$F$84,MATCH("DIV|L1|3",'F1 Foto (dati)'!$A$5:$A$84,0))</f>
        <v>Reale</v>
      </c>
      <c r="F10" s="13" t="str">
        <f>INDEX('F1 Foto (dati)'!$F$5:$F$84,MATCH("BIS|L1|3",'F1 Foto (dati)'!$A$5:$A$84,0))</f>
        <v>IA</v>
      </c>
      <c r="G10" s="13" t="str">
        <f>INDEX('F1 Foto (dati)'!$F$5:$F$84,MATCH("PAS|L1|3",'F1 Foto (dati)'!$A$5:$A$84,0))</f>
        <v>IA</v>
      </c>
      <c r="H10" s="13" t="str">
        <f>INDEX('F1 Foto (dati)'!$F$5:$F$84,MATCH("DRE|L1|3",'F1 Foto (dati)'!$A$5:$A$84,0))</f>
        <v>Reale</v>
      </c>
      <c r="I10" s="13">
        <f>COUNTIFS('F1 Foto (dati)'!$C$5:$C$84,A10,'F1 Foto (dati)'!$D$5:$D$84,B10,'F1 Foto (dati)'!$G$5:$G$84,1)</f>
        <v>3</v>
      </c>
      <c r="J10" s="13">
        <f>COUNTIFS('F1 Foto (dati)'!$C$5:$C$84,A10,'F1 Foto (dati)'!$D$5:$D$84,B10,'F1 Foto (dati)'!$G$5:$G$84,"&lt;&gt;n.v.")</f>
        <v>5</v>
      </c>
      <c r="K10" s="18">
        <f t="shared" ref="K10:K20" si="22">IF(J10=0,0,I10/J10)</f>
        <v>0.6</v>
      </c>
      <c r="L10" s="12" t="s">
        <v>595</v>
      </c>
    </row>
    <row r="11" ht="23.850000000000001">
      <c r="A11" s="32" t="s">
        <v>464</v>
      </c>
      <c r="B11" s="13">
        <v>1</v>
      </c>
      <c r="C11" s="33" t="s">
        <v>453</v>
      </c>
      <c r="D11" s="13" t="str">
        <f>INDEX('F1 Foto (dati)'!$F$5:$F$84,MATCH("TON|L2|1",'F1 Foto (dati)'!$A$5:$A$84,0))</f>
        <v>IA</v>
      </c>
      <c r="E11" s="13" t="str">
        <f>INDEX('F1 Foto (dati)'!$F$5:$F$84,MATCH("DIV|L2|1",'F1 Foto (dati)'!$A$5:$A$84,0))</f>
        <v>IA</v>
      </c>
      <c r="F11" s="13" t="str">
        <f>INDEX('F1 Foto (dati)'!$F$5:$F$84,MATCH("BIS|L2|1",'F1 Foto (dati)'!$A$5:$A$84,0))</f>
        <v>Reale</v>
      </c>
      <c r="G11" s="13" t="str">
        <f>INDEX('F1 Foto (dati)'!$F$5:$F$84,MATCH("PAS|L2|1",'F1 Foto (dati)'!$A$5:$A$84,0))</f>
        <v>IA</v>
      </c>
      <c r="H11" s="13" t="str">
        <f>INDEX('F1 Foto (dati)'!$F$5:$F$84,MATCH("DRE|L2|1",'F1 Foto (dati)'!$A$5:$A$84,0))</f>
        <v>Reale</v>
      </c>
      <c r="I11" s="13">
        <f>COUNTIFS('F1 Foto (dati)'!$C$5:$C$84,A11,'F1 Foto (dati)'!$D$5:$D$84,B11,'F1 Foto (dati)'!$G$5:$G$84,1)</f>
        <v>2</v>
      </c>
      <c r="J11" s="13">
        <f>COUNTIFS('F1 Foto (dati)'!$C$5:$C$84,A11,'F1 Foto (dati)'!$D$5:$D$84,B11,'F1 Foto (dati)'!$G$5:$G$84,"&lt;&gt;n.v.")</f>
        <v>5</v>
      </c>
      <c r="K11" s="18">
        <f t="shared" si="22"/>
        <v>0.4</v>
      </c>
      <c r="L11" s="12" t="s">
        <v>596</v>
      </c>
    </row>
    <row r="12" ht="15">
      <c r="A12" s="32" t="s">
        <v>464</v>
      </c>
      <c r="B12" s="13">
        <v>2</v>
      </c>
      <c r="C12" s="33" t="s">
        <v>453</v>
      </c>
      <c r="D12" s="13" t="str">
        <f>INDEX('F1 Foto (dati)'!$F$5:$F$84,MATCH("TON|L2|2",'F1 Foto (dati)'!$A$5:$A$84,0))</f>
        <v>Reale</v>
      </c>
      <c r="E12" s="13" t="str">
        <f>INDEX('F1 Foto (dati)'!$F$5:$F$84,MATCH("DIV|L2|2",'F1 Foto (dati)'!$A$5:$A$84,0))</f>
        <v>Reale</v>
      </c>
      <c r="F12" s="13" t="str">
        <f>INDEX('F1 Foto (dati)'!$F$5:$F$84,MATCH("BIS|L2|2",'F1 Foto (dati)'!$A$5:$A$84,0))</f>
        <v>Reale</v>
      </c>
      <c r="G12" s="13" t="str">
        <f>INDEX('F1 Foto (dati)'!$F$5:$F$84,MATCH("PAS|L2|2",'F1 Foto (dati)'!$A$5:$A$84,0))</f>
        <v>Reale</v>
      </c>
      <c r="H12" s="13" t="str">
        <f>INDEX('F1 Foto (dati)'!$F$5:$F$84,MATCH("DRE|L2|2",'F1 Foto (dati)'!$A$5:$A$84,0))</f>
        <v>Reale</v>
      </c>
      <c r="I12" s="13">
        <f>COUNTIFS('F1 Foto (dati)'!$C$5:$C$84,A12,'F1 Foto (dati)'!$D$5:$D$84,B12,'F1 Foto (dati)'!$G$5:$G$84,1)</f>
        <v>5</v>
      </c>
      <c r="J12" s="13">
        <f>COUNTIFS('F1 Foto (dati)'!$C$5:$C$84,A12,'F1 Foto (dati)'!$D$5:$D$84,B12,'F1 Foto (dati)'!$G$5:$G$84,"&lt;&gt;n.v.")</f>
        <v>5</v>
      </c>
      <c r="K12" s="18">
        <f t="shared" si="22"/>
        <v>1</v>
      </c>
      <c r="L12" s="12"/>
    </row>
    <row r="13" ht="15">
      <c r="A13" s="32" t="s">
        <v>464</v>
      </c>
      <c r="B13" s="13">
        <v>3</v>
      </c>
      <c r="C13" s="33" t="s">
        <v>455</v>
      </c>
      <c r="D13" s="13" t="str">
        <f>INDEX('F1 Foto (dati)'!$F$5:$F$84,MATCH("TON|L2|3",'F1 Foto (dati)'!$A$5:$A$84,0))</f>
        <v>IA</v>
      </c>
      <c r="E13" s="13" t="str">
        <f>INDEX('F1 Foto (dati)'!$F$5:$F$84,MATCH("DIV|L2|3",'F1 Foto (dati)'!$A$5:$A$84,0))</f>
        <v>IA</v>
      </c>
      <c r="F13" s="13" t="str">
        <f>INDEX('F1 Foto (dati)'!$F$5:$F$84,MATCH("BIS|L2|3",'F1 Foto (dati)'!$A$5:$A$84,0))</f>
        <v>IA</v>
      </c>
      <c r="G13" s="13" t="str">
        <f>INDEX('F1 Foto (dati)'!$F$5:$F$84,MATCH("PAS|L2|3",'F1 Foto (dati)'!$A$5:$A$84,0))</f>
        <v>IA</v>
      </c>
      <c r="H13" s="13" t="str">
        <f>INDEX('F1 Foto (dati)'!$F$5:$F$84,MATCH("DRE|L2|3",'F1 Foto (dati)'!$A$5:$A$84,0))</f>
        <v>IA</v>
      </c>
      <c r="I13" s="13">
        <f>COUNTIFS('F1 Foto (dati)'!$C$5:$C$84,A13,'F1 Foto (dati)'!$D$5:$D$84,B13,'F1 Foto (dati)'!$G$5:$G$84,1)</f>
        <v>5</v>
      </c>
      <c r="J13" s="13">
        <f>COUNTIFS('F1 Foto (dati)'!$C$5:$C$84,A13,'F1 Foto (dati)'!$D$5:$D$84,B13,'F1 Foto (dati)'!$G$5:$G$84,"&lt;&gt;n.v.")</f>
        <v>5</v>
      </c>
      <c r="K13" s="18">
        <f t="shared" si="22"/>
        <v>1</v>
      </c>
      <c r="L13" s="12"/>
    </row>
    <row r="14" ht="15">
      <c r="A14" s="32" t="s">
        <v>470</v>
      </c>
      <c r="B14" s="13">
        <v>1</v>
      </c>
      <c r="C14" s="33" t="s">
        <v>455</v>
      </c>
      <c r="D14" s="13" t="str">
        <f>INDEX('F1 Foto (dati)'!$F$5:$F$84,MATCH("TON|L3|1",'F1 Foto (dati)'!$A$5:$A$84,0))</f>
        <v>IA</v>
      </c>
      <c r="E14" s="13" t="str">
        <f>INDEX('F1 Foto (dati)'!$F$5:$F$84,MATCH("DIV|L3|1",'F1 Foto (dati)'!$A$5:$A$84,0))</f>
        <v>IA</v>
      </c>
      <c r="F14" s="13" t="str">
        <f>INDEX('F1 Foto (dati)'!$F$5:$F$84,MATCH("BIS|L3|1",'F1 Foto (dati)'!$A$5:$A$84,0))</f>
        <v>IA</v>
      </c>
      <c r="G14" s="13" t="str">
        <f>INDEX('F1 Foto (dati)'!$F$5:$F$84,MATCH("PAS|L3|1",'F1 Foto (dati)'!$A$5:$A$84,0))</f>
        <v>IA</v>
      </c>
      <c r="H14" s="13" t="str">
        <f>INDEX('F1 Foto (dati)'!$F$5:$F$84,MATCH("DRE|L3|1",'F1 Foto (dati)'!$A$5:$A$84,0))</f>
        <v>Reale</v>
      </c>
      <c r="I14" s="13">
        <f>COUNTIFS('F1 Foto (dati)'!$C$5:$C$84,A14,'F1 Foto (dati)'!$D$5:$D$84,B14,'F1 Foto (dati)'!$G$5:$G$84,1)</f>
        <v>4</v>
      </c>
      <c r="J14" s="13">
        <f>COUNTIFS('F1 Foto (dati)'!$C$5:$C$84,A14,'F1 Foto (dati)'!$D$5:$D$84,B14,'F1 Foto (dati)'!$G$5:$G$84,"&lt;&gt;n.v.")</f>
        <v>5</v>
      </c>
      <c r="K14" s="18">
        <f t="shared" si="22"/>
        <v>0.8</v>
      </c>
      <c r="L14" s="12"/>
    </row>
    <row r="15" ht="15">
      <c r="A15" s="32" t="s">
        <v>470</v>
      </c>
      <c r="B15" s="13">
        <v>2</v>
      </c>
      <c r="C15" s="33" t="s">
        <v>453</v>
      </c>
      <c r="D15" s="13" t="str">
        <f>INDEX('F1 Foto (dati)'!$F$5:$F$84,MATCH("TON|L3|2",'F1 Foto (dati)'!$A$5:$A$84,0))</f>
        <v>Reale</v>
      </c>
      <c r="E15" s="13" t="str">
        <f>INDEX('F1 Foto (dati)'!$F$5:$F$84,MATCH("DIV|L3|2",'F1 Foto (dati)'!$A$5:$A$84,0))</f>
        <v>Reale</v>
      </c>
      <c r="F15" s="13" t="str">
        <f>INDEX('F1 Foto (dati)'!$F$5:$F$84,MATCH("BIS|L3|2",'F1 Foto (dati)'!$A$5:$A$84,0))</f>
        <v>Reale</v>
      </c>
      <c r="G15" s="13" t="str">
        <f>INDEX('F1 Foto (dati)'!$F$5:$F$84,MATCH("PAS|L3|2",'F1 Foto (dati)'!$A$5:$A$84,0))</f>
        <v>Reale</v>
      </c>
      <c r="H15" s="13" t="str">
        <f>INDEX('F1 Foto (dati)'!$F$5:$F$84,MATCH("DRE|L3|2",'F1 Foto (dati)'!$A$5:$A$84,0))</f>
        <v>Reale</v>
      </c>
      <c r="I15" s="13">
        <f>COUNTIFS('F1 Foto (dati)'!$C$5:$C$84,A15,'F1 Foto (dati)'!$D$5:$D$84,B15,'F1 Foto (dati)'!$G$5:$G$84,1)</f>
        <v>5</v>
      </c>
      <c r="J15" s="13">
        <f>COUNTIFS('F1 Foto (dati)'!$C$5:$C$84,A15,'F1 Foto (dati)'!$D$5:$D$84,B15,'F1 Foto (dati)'!$G$5:$G$84,"&lt;&gt;n.v.")</f>
        <v>5</v>
      </c>
      <c r="K15" s="18">
        <f t="shared" si="22"/>
        <v>1</v>
      </c>
      <c r="L15" s="12"/>
    </row>
    <row r="16" ht="23.850000000000001">
      <c r="A16" s="32" t="s">
        <v>470</v>
      </c>
      <c r="B16" s="13">
        <v>3</v>
      </c>
      <c r="C16" s="33" t="s">
        <v>455</v>
      </c>
      <c r="D16" s="13" t="str">
        <f>INDEX('F1 Foto (dati)'!$F$5:$F$84,MATCH("TON|L3|3",'F1 Foto (dati)'!$A$5:$A$84,0))</f>
        <v>IA</v>
      </c>
      <c r="E16" s="13" t="str">
        <f>INDEX('F1 Foto (dati)'!$F$5:$F$84,MATCH("DIV|L3|3",'F1 Foto (dati)'!$A$5:$A$84,0))</f>
        <v>IA</v>
      </c>
      <c r="F16" s="13" t="str">
        <f>INDEX('F1 Foto (dati)'!$F$5:$F$84,MATCH("BIS|L3|3",'F1 Foto (dati)'!$A$5:$A$84,0))</f>
        <v>Reale</v>
      </c>
      <c r="G16" s="13" t="str">
        <f>INDEX('F1 Foto (dati)'!$F$5:$F$84,MATCH("PAS|L3|3",'F1 Foto (dati)'!$A$5:$A$84,0))</f>
        <v>IA</v>
      </c>
      <c r="H16" s="13" t="str">
        <f>INDEX('F1 Foto (dati)'!$F$5:$F$84,MATCH("DRE|L3|3",'F1 Foto (dati)'!$A$5:$A$84,0))</f>
        <v>?</v>
      </c>
      <c r="I16" s="13">
        <f>COUNTIFS('F1 Foto (dati)'!$C$5:$C$84,A16,'F1 Foto (dati)'!$D$5:$D$84,B16,'F1 Foto (dati)'!$G$5:$G$84,1)</f>
        <v>3</v>
      </c>
      <c r="J16" s="13">
        <f>COUNTIFS('F1 Foto (dati)'!$C$5:$C$84,A16,'F1 Foto (dati)'!$D$5:$D$84,B16,'F1 Foto (dati)'!$G$5:$G$84,"&lt;&gt;n.v.")</f>
        <v>4</v>
      </c>
      <c r="K16" s="18">
        <f t="shared" si="22"/>
        <v>0.75</v>
      </c>
      <c r="L16" s="12" t="s">
        <v>597</v>
      </c>
    </row>
    <row r="17" ht="15">
      <c r="A17" s="32" t="s">
        <v>477</v>
      </c>
      <c r="B17" s="13">
        <v>1</v>
      </c>
      <c r="C17" s="33" t="s">
        <v>455</v>
      </c>
      <c r="D17" s="13" t="str">
        <f>INDEX('F1 Foto (dati)'!$F$5:$F$84,MATCH("TON|L4|1",'F1 Foto (dati)'!$A$5:$A$84,0))</f>
        <v>IA</v>
      </c>
      <c r="E17" s="13" t="str">
        <f>INDEX('F1 Foto (dati)'!$F$5:$F$84,MATCH("DIV|L4|1",'F1 Foto (dati)'!$A$5:$A$84,0))</f>
        <v>IA</v>
      </c>
      <c r="F17" s="13" t="str">
        <f>INDEX('F1 Foto (dati)'!$F$5:$F$84,MATCH("BIS|L4|1",'F1 Foto (dati)'!$A$5:$A$84,0))</f>
        <v>IA</v>
      </c>
      <c r="G17" s="13" t="str">
        <f>INDEX('F1 Foto (dati)'!$F$5:$F$84,MATCH("PAS|L4|1",'F1 Foto (dati)'!$A$5:$A$84,0))</f>
        <v>IA</v>
      </c>
      <c r="H17" s="13" t="str">
        <f>INDEX('F1 Foto (dati)'!$F$5:$F$84,MATCH("DRE|L4|1",'F1 Foto (dati)'!$A$5:$A$84,0))</f>
        <v>IA</v>
      </c>
      <c r="I17" s="13">
        <f>COUNTIFS('F1 Foto (dati)'!$C$5:$C$84,A17,'F1 Foto (dati)'!$D$5:$D$84,B17,'F1 Foto (dati)'!$G$5:$G$84,1)</f>
        <v>5</v>
      </c>
      <c r="J17" s="13">
        <f>COUNTIFS('F1 Foto (dati)'!$C$5:$C$84,A17,'F1 Foto (dati)'!$D$5:$D$84,B17,'F1 Foto (dati)'!$G$5:$G$84,"&lt;&gt;n.v.")</f>
        <v>5</v>
      </c>
      <c r="K17" s="18">
        <f t="shared" si="22"/>
        <v>1</v>
      </c>
      <c r="L17" s="12"/>
    </row>
    <row r="18" ht="15">
      <c r="A18" s="32" t="s">
        <v>477</v>
      </c>
      <c r="B18" s="13">
        <v>2</v>
      </c>
      <c r="C18" s="33" t="s">
        <v>455</v>
      </c>
      <c r="D18" s="13" t="str">
        <f>INDEX('F1 Foto (dati)'!$F$5:$F$84,MATCH("TON|L4|2",'F1 Foto (dati)'!$A$5:$A$84,0))</f>
        <v>?</v>
      </c>
      <c r="E18" s="13" t="str">
        <f>INDEX('F1 Foto (dati)'!$F$5:$F$84,MATCH("DIV|L4|2",'F1 Foto (dati)'!$A$5:$A$84,0))</f>
        <v>Reale</v>
      </c>
      <c r="F18" s="13" t="str">
        <f>INDEX('F1 Foto (dati)'!$F$5:$F$84,MATCH("BIS|L4|2",'F1 Foto (dati)'!$A$5:$A$84,0))</f>
        <v>Reale</v>
      </c>
      <c r="G18" s="13" t="str">
        <f>INDEX('F1 Foto (dati)'!$F$5:$F$84,MATCH("PAS|L4|2",'F1 Foto (dati)'!$A$5:$A$84,0))</f>
        <v>IA</v>
      </c>
      <c r="H18" s="13" t="str">
        <f>INDEX('F1 Foto (dati)'!$F$5:$F$84,MATCH("DRE|L4|2",'F1 Foto (dati)'!$A$5:$A$84,0))</f>
        <v>IA</v>
      </c>
      <c r="I18" s="13">
        <f>COUNTIFS('F1 Foto (dati)'!$C$5:$C$84,A18,'F1 Foto (dati)'!$D$5:$D$84,B18,'F1 Foto (dati)'!$G$5:$G$84,1)</f>
        <v>2</v>
      </c>
      <c r="J18" s="13">
        <f>COUNTIFS('F1 Foto (dati)'!$C$5:$C$84,A18,'F1 Foto (dati)'!$D$5:$D$84,B18,'F1 Foto (dati)'!$G$5:$G$84,"&lt;&gt;n.v.")</f>
        <v>4</v>
      </c>
      <c r="K18" s="18">
        <f t="shared" si="22"/>
        <v>0.5</v>
      </c>
      <c r="L18" s="12" t="s">
        <v>598</v>
      </c>
    </row>
    <row r="19" ht="23.850000000000001">
      <c r="A19" s="32" t="s">
        <v>477</v>
      </c>
      <c r="B19" s="13">
        <v>3</v>
      </c>
      <c r="C19" s="33" t="s">
        <v>455</v>
      </c>
      <c r="D19" s="13" t="str">
        <f>INDEX('F1 Foto (dati)'!$F$5:$F$84,MATCH("TON|L4|3",'F1 Foto (dati)'!$A$5:$A$84,0))</f>
        <v>Reale</v>
      </c>
      <c r="E19" s="13" t="str">
        <f>INDEX('F1 Foto (dati)'!$F$5:$F$84,MATCH("DIV|L4|3",'F1 Foto (dati)'!$A$5:$A$84,0))</f>
        <v>Reale</v>
      </c>
      <c r="F19" s="13" t="str">
        <f>INDEX('F1 Foto (dati)'!$F$5:$F$84,MATCH("BIS|L4|3",'F1 Foto (dati)'!$A$5:$A$84,0))</f>
        <v>Reale</v>
      </c>
      <c r="G19" s="13" t="str">
        <f>INDEX('F1 Foto (dati)'!$F$5:$F$84,MATCH("PAS|L4|3",'F1 Foto (dati)'!$A$5:$A$84,0))</f>
        <v>Reale</v>
      </c>
      <c r="H19" s="13" t="str">
        <f>INDEX('F1 Foto (dati)'!$F$5:$F$84,MATCH("DRE|L4|3",'F1 Foto (dati)'!$A$5:$A$84,0))</f>
        <v>Reale</v>
      </c>
      <c r="I19" s="13">
        <f>COUNTIFS('F1 Foto (dati)'!$C$5:$C$84,A19,'F1 Foto (dati)'!$D$5:$D$84,B19,'F1 Foto (dati)'!$G$5:$G$84,1)</f>
        <v>0</v>
      </c>
      <c r="J19" s="13">
        <f>COUNTIFS('F1 Foto (dati)'!$C$5:$C$84,A19,'F1 Foto (dati)'!$D$5:$D$84,B19,'F1 Foto (dati)'!$G$5:$G$84,"&lt;&gt;n.v.")</f>
        <v>5</v>
      </c>
      <c r="K19" s="18">
        <f t="shared" si="22"/>
        <v>0</v>
      </c>
      <c r="L19" s="12" t="s">
        <v>599</v>
      </c>
    </row>
    <row r="20" ht="15">
      <c r="A20" s="32" t="s">
        <v>477</v>
      </c>
      <c r="B20" s="13">
        <v>4</v>
      </c>
      <c r="C20" s="33" t="s">
        <v>455</v>
      </c>
      <c r="D20" s="13" t="str">
        <f>INDEX('F1 Foto (dati)'!$F$5:$F$84,MATCH("TON|L4|4",'F1 Foto (dati)'!$A$5:$A$84,0))</f>
        <v>IA</v>
      </c>
      <c r="E20" s="13" t="str">
        <f>INDEX('F1 Foto (dati)'!$F$5:$F$84,MATCH("DIV|L4|4",'F1 Foto (dati)'!$A$5:$A$84,0))</f>
        <v>IA</v>
      </c>
      <c r="F20" s="13" t="str">
        <f>INDEX('F1 Foto (dati)'!$F$5:$F$84,MATCH("BIS|L4|4",'F1 Foto (dati)'!$A$5:$A$84,0))</f>
        <v>Reale</v>
      </c>
      <c r="G20" s="13" t="str">
        <f>INDEX('F1 Foto (dati)'!$F$5:$F$84,MATCH("PAS|L4|4",'F1 Foto (dati)'!$A$5:$A$84,0))</f>
        <v>IA</v>
      </c>
      <c r="H20" s="13" t="str">
        <f>INDEX('F1 Foto (dati)'!$F$5:$F$84,MATCH("DRE|L4|4",'F1 Foto (dati)'!$A$5:$A$84,0))</f>
        <v>Reale</v>
      </c>
      <c r="I20" s="13">
        <f>COUNTIFS('F1 Foto (dati)'!$C$5:$C$84,A20,'F1 Foto (dati)'!$D$5:$D$84,B20,'F1 Foto (dati)'!$G$5:$G$84,1)</f>
        <v>3</v>
      </c>
      <c r="J20" s="13">
        <f>COUNTIFS('F1 Foto (dati)'!$C$5:$C$84,A20,'F1 Foto (dati)'!$D$5:$D$84,B20,'F1 Foto (dati)'!$G$5:$G$84,"&lt;&gt;n.v.")</f>
        <v>5</v>
      </c>
      <c r="K20" s="18">
        <f t="shared" si="22"/>
        <v>0.6</v>
      </c>
      <c r="L20" s="12" t="s">
        <v>600</v>
      </c>
    </row>
    <row r="22" ht="57.450000000000003">
      <c r="A22" s="11" t="s">
        <v>601</v>
      </c>
    </row>
    <row r="23" ht="15" customHeight="1">
      <c r="A23" s="11" t="s">
        <v>395</v>
      </c>
      <c r="B23" s="21" t="s">
        <v>602</v>
      </c>
      <c r="C23" s="21"/>
      <c r="D23" s="21"/>
      <c r="E23" s="21"/>
      <c r="F23" s="21"/>
      <c r="G23" s="21"/>
      <c r="H23" s="21"/>
      <c r="I23" s="21"/>
      <c r="J23" s="21"/>
      <c r="K23" s="21"/>
      <c r="L23" s="21"/>
    </row>
    <row r="24" ht="15" customHeight="1">
      <c r="A24" s="11" t="s">
        <v>396</v>
      </c>
      <c r="B24" s="21" t="s">
        <v>603</v>
      </c>
      <c r="C24" s="21"/>
      <c r="D24" s="21"/>
      <c r="E24" s="21"/>
      <c r="F24" s="21"/>
      <c r="G24" s="21"/>
      <c r="H24" s="21"/>
      <c r="I24" s="21"/>
      <c r="J24" s="21"/>
      <c r="K24" s="21"/>
      <c r="L24" s="21"/>
    </row>
    <row r="25" ht="23.850000000000001" customHeight="1">
      <c r="A25" s="11" t="s">
        <v>399</v>
      </c>
      <c r="B25" s="21" t="s">
        <v>604</v>
      </c>
      <c r="C25" s="21"/>
      <c r="D25" s="21"/>
      <c r="E25" s="21"/>
      <c r="F25" s="21"/>
      <c r="G25" s="21"/>
      <c r="H25" s="21"/>
      <c r="I25" s="21"/>
      <c r="J25" s="21"/>
      <c r="K25" s="21"/>
      <c r="L25" s="21"/>
    </row>
  </sheetData>
  <mergeCells count="3">
    <mergeCell ref="B23:L23"/>
    <mergeCell ref="B24:L24"/>
    <mergeCell ref="B25:L25"/>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AND(D5&lt;&gt;"?",D5=$C5)</xm:f>
            <x14:dxf>
              <fill>
                <patternFill patternType="solid">
                  <fgColor rgb="FFD8EFD8"/>
                  <bgColor rgb="FFD8EFD8"/>
                </patternFill>
              </fill>
            </x14:dxf>
          </x14:cfRule>
          <xm:sqref>D5:H20</xm:sqref>
        </x14:conditionalFormatting>
        <x14:conditionalFormatting xmlns:xm="http://schemas.microsoft.com/office/excel/2006/main">
          <x14:cfRule type="expression" priority="3" aboveAverage="0" rank="0" text="">
            <xm:f>AND(D5&lt;&gt;"?",D5&lt;&gt;$C5)</xm:f>
            <x14:dxf>
              <fill>
                <patternFill patternType="solid">
                  <fgColor rgb="FFF6D5D5"/>
                  <bgColor rgb="FFF6D5D5"/>
                </patternFill>
              </fill>
            </x14:dxf>
          </x14:cfRule>
          <xm:sqref>D5:H20</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14"/>
    <col customWidth="1" min="2" max="2" style="0" width="8"/>
    <col customWidth="1" min="3" max="3" style="0" width="12"/>
    <col customWidth="1" min="4" max="4" style="0" width="11"/>
    <col customWidth="1" min="5" max="5" style="0" width="8"/>
    <col customWidth="1" min="6" max="6" style="0" width="13"/>
    <col customWidth="1" min="7" max="7" style="0" width="12"/>
    <col customWidth="1" min="8" max="8" style="0" width="8"/>
    <col customWidth="1" min="9" max="9" style="0" width="10"/>
    <col customWidth="1" min="10" max="10" style="0" width="60"/>
  </cols>
  <sheetData>
    <row r="1" ht="17.350000000000001">
      <c r="A1" s="7" t="s">
        <v>605</v>
      </c>
    </row>
    <row r="2" ht="15">
      <c r="A2" s="8" t="s">
        <v>606</v>
      </c>
    </row>
    <row r="4" ht="23.850000000000001">
      <c r="A4" s="10" t="s">
        <v>390</v>
      </c>
      <c r="B4" s="10" t="s">
        <v>607</v>
      </c>
      <c r="C4" s="10" t="s">
        <v>608</v>
      </c>
      <c r="D4" s="10" t="s">
        <v>609</v>
      </c>
      <c r="E4" s="10" t="s">
        <v>447</v>
      </c>
      <c r="F4" s="10" t="s">
        <v>610</v>
      </c>
      <c r="G4" s="10" t="s">
        <v>609</v>
      </c>
      <c r="H4" s="10" t="s">
        <v>447</v>
      </c>
      <c r="I4" s="10" t="s">
        <v>611</v>
      </c>
      <c r="J4" s="10" t="s">
        <v>612</v>
      </c>
    </row>
    <row r="5" ht="15">
      <c r="A5" s="12" t="s">
        <v>395</v>
      </c>
      <c r="B5" s="13" t="s">
        <v>429</v>
      </c>
      <c r="C5" s="33" t="s">
        <v>613</v>
      </c>
      <c r="D5" s="24" t="s">
        <v>613</v>
      </c>
      <c r="E5" s="13">
        <f t="shared" ref="E5:E9" si="23">IF(D5="","n.c.",IF(D5=C5,1,0))</f>
        <v>1</v>
      </c>
      <c r="F5" s="33" t="s">
        <v>614</v>
      </c>
      <c r="G5" s="24" t="s">
        <v>614</v>
      </c>
      <c r="H5" s="13">
        <f t="shared" ref="H5:H9" si="24">IF(G5="","n.c.",IF(G5="?","n.v.",IF(G5=F5,1,0)))</f>
        <v>1</v>
      </c>
      <c r="I5" s="24">
        <v>2</v>
      </c>
      <c r="J5" s="12" t="s">
        <v>615</v>
      </c>
    </row>
    <row r="6" ht="15">
      <c r="A6" s="12" t="s">
        <v>395</v>
      </c>
      <c r="B6" s="13" t="s">
        <v>430</v>
      </c>
      <c r="C6" s="33" t="s">
        <v>613</v>
      </c>
      <c r="D6" s="24" t="s">
        <v>613</v>
      </c>
      <c r="E6" s="13">
        <f t="shared" si="23"/>
        <v>1</v>
      </c>
      <c r="F6" s="33" t="s">
        <v>616</v>
      </c>
      <c r="G6" s="24" t="s">
        <v>616</v>
      </c>
      <c r="H6" s="13">
        <f t="shared" si="24"/>
        <v>1</v>
      </c>
      <c r="I6" s="24"/>
      <c r="J6" s="12" t="s">
        <v>617</v>
      </c>
    </row>
    <row r="7" ht="15">
      <c r="A7" s="12" t="s">
        <v>395</v>
      </c>
      <c r="B7" s="13" t="s">
        <v>431</v>
      </c>
      <c r="C7" s="33" t="s">
        <v>618</v>
      </c>
      <c r="D7" s="24" t="s">
        <v>618</v>
      </c>
      <c r="E7" s="13">
        <f t="shared" si="23"/>
        <v>1</v>
      </c>
      <c r="F7" s="33" t="s">
        <v>614</v>
      </c>
      <c r="G7" s="24" t="s">
        <v>614</v>
      </c>
      <c r="H7" s="13">
        <f t="shared" si="24"/>
        <v>1</v>
      </c>
      <c r="I7" s="24"/>
      <c r="J7" s="12"/>
    </row>
    <row r="8" ht="15">
      <c r="A8" s="12" t="s">
        <v>396</v>
      </c>
      <c r="B8" s="13" t="s">
        <v>429</v>
      </c>
      <c r="C8" s="33" t="s">
        <v>613</v>
      </c>
      <c r="D8" s="24" t="s">
        <v>613</v>
      </c>
      <c r="E8" s="13">
        <f t="shared" si="23"/>
        <v>1</v>
      </c>
      <c r="F8" s="33" t="s">
        <v>614</v>
      </c>
      <c r="G8" s="24" t="s">
        <v>616</v>
      </c>
      <c r="H8" s="13">
        <f t="shared" si="24"/>
        <v>0</v>
      </c>
      <c r="I8" s="24">
        <v>4</v>
      </c>
      <c r="J8" s="12" t="s">
        <v>619</v>
      </c>
    </row>
    <row r="9" ht="15">
      <c r="A9" s="12" t="s">
        <v>396</v>
      </c>
      <c r="B9" s="13" t="s">
        <v>430</v>
      </c>
      <c r="C9" s="33" t="s">
        <v>613</v>
      </c>
      <c r="D9" s="24" t="s">
        <v>613</v>
      </c>
      <c r="E9" s="13">
        <f t="shared" si="23"/>
        <v>1</v>
      </c>
      <c r="F9" s="33" t="s">
        <v>616</v>
      </c>
      <c r="G9" s="24" t="s">
        <v>616</v>
      </c>
      <c r="H9" s="13">
        <f t="shared" si="24"/>
        <v>1</v>
      </c>
      <c r="I9" s="24"/>
      <c r="J9" s="12"/>
    </row>
    <row r="10" ht="15">
      <c r="A10" s="12" t="s">
        <v>396</v>
      </c>
      <c r="B10" s="13" t="s">
        <v>431</v>
      </c>
      <c r="C10" s="33" t="s">
        <v>618</v>
      </c>
      <c r="D10" s="24"/>
      <c r="E10" s="13" t="str">
        <f t="shared" ref="E10:E19" si="25">IF(D10="","n.c.",IF(D10=C10,1,0))</f>
        <v>n.c.</v>
      </c>
      <c r="F10" s="33" t="s">
        <v>614</v>
      </c>
      <c r="G10" s="24" t="s">
        <v>614</v>
      </c>
      <c r="H10" s="13">
        <f t="shared" ref="H10:H19" si="26">IF(G10="","n.c.",IF(G10="?","n.v.",IF(G10=F10,1,0)))</f>
        <v>1</v>
      </c>
      <c r="I10" s="24"/>
      <c r="J10" s="12" t="s">
        <v>620</v>
      </c>
    </row>
    <row r="11" ht="15">
      <c r="A11" s="12" t="s">
        <v>397</v>
      </c>
      <c r="B11" s="13" t="s">
        <v>429</v>
      </c>
      <c r="C11" s="33" t="s">
        <v>613</v>
      </c>
      <c r="D11" s="24" t="s">
        <v>613</v>
      </c>
      <c r="E11" s="13">
        <f t="shared" si="25"/>
        <v>1</v>
      </c>
      <c r="F11" s="33" t="s">
        <v>614</v>
      </c>
      <c r="G11" s="24" t="s">
        <v>614</v>
      </c>
      <c r="H11" s="13">
        <f t="shared" si="26"/>
        <v>1</v>
      </c>
      <c r="I11" s="24"/>
      <c r="J11" s="12"/>
    </row>
    <row r="12" ht="15">
      <c r="A12" s="12" t="s">
        <v>397</v>
      </c>
      <c r="B12" s="13" t="s">
        <v>430</v>
      </c>
      <c r="C12" s="33" t="s">
        <v>613</v>
      </c>
      <c r="D12" s="24" t="s">
        <v>613</v>
      </c>
      <c r="E12" s="13">
        <f t="shared" si="25"/>
        <v>1</v>
      </c>
      <c r="F12" s="33" t="s">
        <v>616</v>
      </c>
      <c r="G12" s="24" t="s">
        <v>614</v>
      </c>
      <c r="H12" s="13">
        <f t="shared" si="26"/>
        <v>0</v>
      </c>
      <c r="I12" s="24"/>
      <c r="J12" s="12"/>
    </row>
    <row r="13" ht="15">
      <c r="A13" s="12" t="s">
        <v>397</v>
      </c>
      <c r="B13" s="13" t="s">
        <v>431</v>
      </c>
      <c r="C13" s="33" t="s">
        <v>618</v>
      </c>
      <c r="D13" s="24"/>
      <c r="E13" s="13" t="str">
        <f t="shared" si="25"/>
        <v>n.c.</v>
      </c>
      <c r="F13" s="33" t="s">
        <v>614</v>
      </c>
      <c r="G13" s="24"/>
      <c r="H13" s="13" t="str">
        <f t="shared" si="26"/>
        <v>n.c.</v>
      </c>
      <c r="I13" s="24"/>
      <c r="J13" s="12" t="s">
        <v>621</v>
      </c>
    </row>
    <row r="14" ht="15">
      <c r="A14" s="12" t="s">
        <v>398</v>
      </c>
      <c r="B14" s="13" t="s">
        <v>429</v>
      </c>
      <c r="C14" s="33" t="s">
        <v>613</v>
      </c>
      <c r="D14" s="24" t="s">
        <v>613</v>
      </c>
      <c r="E14" s="13">
        <f t="shared" si="25"/>
        <v>1</v>
      </c>
      <c r="F14" s="33" t="s">
        <v>614</v>
      </c>
      <c r="G14" s="24" t="s">
        <v>614</v>
      </c>
      <c r="H14" s="13">
        <f t="shared" si="26"/>
        <v>1</v>
      </c>
      <c r="I14" s="24"/>
      <c r="J14" s="12" t="s">
        <v>622</v>
      </c>
    </row>
    <row r="15" ht="15">
      <c r="A15" s="12" t="s">
        <v>398</v>
      </c>
      <c r="B15" s="13" t="s">
        <v>430</v>
      </c>
      <c r="C15" s="33" t="s">
        <v>613</v>
      </c>
      <c r="D15" s="24" t="s">
        <v>613</v>
      </c>
      <c r="E15" s="13">
        <f t="shared" si="25"/>
        <v>1</v>
      </c>
      <c r="F15" s="33" t="s">
        <v>616</v>
      </c>
      <c r="G15" s="24" t="s">
        <v>481</v>
      </c>
      <c r="H15" s="13" t="str">
        <f t="shared" si="26"/>
        <v>n.v.</v>
      </c>
      <c r="I15" s="24"/>
      <c r="J15" s="12" t="s">
        <v>623</v>
      </c>
    </row>
    <row r="16" ht="15">
      <c r="A16" s="12" t="s">
        <v>398</v>
      </c>
      <c r="B16" s="13" t="s">
        <v>431</v>
      </c>
      <c r="C16" s="33" t="s">
        <v>618</v>
      </c>
      <c r="D16" s="24"/>
      <c r="E16" s="13" t="str">
        <f t="shared" si="25"/>
        <v>n.c.</v>
      </c>
      <c r="F16" s="33" t="s">
        <v>614</v>
      </c>
      <c r="G16" s="24"/>
      <c r="H16" s="13" t="str">
        <f t="shared" si="26"/>
        <v>n.c.</v>
      </c>
      <c r="I16" s="24"/>
      <c r="J16" s="12" t="s">
        <v>621</v>
      </c>
    </row>
    <row r="17" ht="15">
      <c r="A17" s="12" t="s">
        <v>399</v>
      </c>
      <c r="B17" s="13" t="s">
        <v>429</v>
      </c>
      <c r="C17" s="33" t="s">
        <v>613</v>
      </c>
      <c r="D17" s="24" t="s">
        <v>613</v>
      </c>
      <c r="E17" s="13">
        <f t="shared" si="25"/>
        <v>1</v>
      </c>
      <c r="F17" s="33" t="s">
        <v>614</v>
      </c>
      <c r="G17" s="24" t="s">
        <v>616</v>
      </c>
      <c r="H17" s="13">
        <f t="shared" si="26"/>
        <v>0</v>
      </c>
      <c r="I17" s="24">
        <v>2</v>
      </c>
      <c r="J17" s="12"/>
    </row>
    <row r="18" ht="15">
      <c r="A18" s="12" t="s">
        <v>399</v>
      </c>
      <c r="B18" s="13" t="s">
        <v>430</v>
      </c>
      <c r="C18" s="33" t="s">
        <v>613</v>
      </c>
      <c r="D18" s="24" t="s">
        <v>613</v>
      </c>
      <c r="E18" s="13">
        <f t="shared" si="25"/>
        <v>1</v>
      </c>
      <c r="F18" s="33" t="s">
        <v>616</v>
      </c>
      <c r="G18" s="24" t="s">
        <v>616</v>
      </c>
      <c r="H18" s="13">
        <f t="shared" si="26"/>
        <v>1</v>
      </c>
      <c r="I18" s="24">
        <v>4</v>
      </c>
      <c r="J18" s="12"/>
    </row>
    <row r="19" ht="15">
      <c r="A19" s="12" t="s">
        <v>399</v>
      </c>
      <c r="B19" s="13" t="s">
        <v>431</v>
      </c>
      <c r="C19" s="33" t="s">
        <v>618</v>
      </c>
      <c r="D19" s="24" t="s">
        <v>618</v>
      </c>
      <c r="E19" s="13">
        <f t="shared" si="25"/>
        <v>1</v>
      </c>
      <c r="F19" s="33" t="s">
        <v>614</v>
      </c>
      <c r="G19" s="24" t="s">
        <v>614</v>
      </c>
      <c r="H19" s="13">
        <f t="shared" si="26"/>
        <v>1</v>
      </c>
      <c r="I19" s="24">
        <v>4</v>
      </c>
      <c r="J19" s="12"/>
    </row>
    <row r="21" ht="35.049999999999997">
      <c r="A21" s="10" t="s">
        <v>607</v>
      </c>
      <c r="B21" s="10"/>
      <c r="C21" s="10" t="s">
        <v>624</v>
      </c>
      <c r="D21" s="10" t="s">
        <v>625</v>
      </c>
      <c r="E21" s="10"/>
      <c r="F21" s="10" t="s">
        <v>626</v>
      </c>
      <c r="G21" s="10" t="s">
        <v>627</v>
      </c>
      <c r="H21" s="10"/>
      <c r="I21" s="10"/>
      <c r="J21" s="10" t="s">
        <v>400</v>
      </c>
    </row>
    <row r="22" ht="35.049999999999997">
      <c r="A22" s="32" t="s">
        <v>429</v>
      </c>
      <c r="C22" s="13">
        <f t="shared" ref="C22:C24" si="27">COUNTIFS($B$5:$B$19,A22,$E$5:$E$19,1)</f>
        <v>5</v>
      </c>
      <c r="D22" s="13">
        <f t="shared" ref="D22:D24" si="28">COUNTIFS($B$5:$B$19,A22,$E$5:$E$19,"&lt;&gt;n.c.")</f>
        <v>5</v>
      </c>
      <c r="F22" s="13">
        <f t="shared" ref="F22:F24" si="29">COUNTIFS($B$5:$B$19,A22,$H$5:$H$19,1)</f>
        <v>3</v>
      </c>
      <c r="G22" s="13">
        <f t="shared" ref="G22:G24" si="30">COUNTIFS($B$5:$B$19,A22,$H$5:$H$19,"&lt;&gt;n.c.",$H$5:$H$19,"&lt;&gt;n.v.")</f>
        <v>5</v>
      </c>
      <c r="J22" s="12" t="s">
        <v>628</v>
      </c>
    </row>
    <row r="23" ht="23.850000000000001">
      <c r="A23" s="32" t="s">
        <v>430</v>
      </c>
      <c r="C23" s="13">
        <f t="shared" si="27"/>
        <v>5</v>
      </c>
      <c r="D23" s="13">
        <f t="shared" si="28"/>
        <v>5</v>
      </c>
      <c r="F23" s="13">
        <f t="shared" si="29"/>
        <v>3</v>
      </c>
      <c r="G23" s="13">
        <f t="shared" si="30"/>
        <v>4</v>
      </c>
      <c r="J23" s="12" t="s">
        <v>629</v>
      </c>
    </row>
    <row r="24" ht="23.850000000000001">
      <c r="A24" s="32" t="s">
        <v>431</v>
      </c>
      <c r="C24" s="13">
        <f t="shared" si="27"/>
        <v>2</v>
      </c>
      <c r="D24" s="13">
        <f t="shared" si="28"/>
        <v>2</v>
      </c>
      <c r="F24" s="13">
        <f t="shared" si="29"/>
        <v>3</v>
      </c>
      <c r="G24" s="13">
        <f t="shared" si="30"/>
        <v>3</v>
      </c>
      <c r="J24" s="12" t="s">
        <v>630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2" aboveAverage="0" operator="equal" rank="0" text="">
            <xm:f>1</xm:f>
            <x14:dxf>
              <fill>
                <patternFill patternType="solid">
                  <fgColor rgb="FFD8EFD8"/>
                  <bgColor rgb="FFD8EFD8"/>
                </patternFill>
              </fill>
            </x14:dxf>
          </x14:cfRule>
          <xm:sqref>E5:E19</xm:sqref>
        </x14:conditionalFormatting>
        <x14:conditionalFormatting xmlns:xm="http://schemas.microsoft.com/office/excel/2006/main">
          <x14:cfRule type="cellIs" priority="3" aboveAverage="0" operator="equal" rank="0" text="">
            <xm:f>0</xm:f>
            <x14:dxf>
              <fill>
                <patternFill patternType="solid">
                  <fgColor rgb="FFF6D5D5"/>
                  <bgColor rgb="FFF6D5D5"/>
                </patternFill>
              </fill>
            </x14:dxf>
          </x14:cfRule>
          <xm:sqref>E5:E19</xm:sqref>
        </x14:conditionalFormatting>
        <x14:conditionalFormatting xmlns:xm="http://schemas.microsoft.com/office/excel/2006/main">
          <x14:cfRule type="cellIs" priority="4" aboveAverage="0" operator="equal" rank="0" text="">
            <xm:f>1</xm:f>
            <x14:dxf>
              <fill>
                <patternFill patternType="solid">
                  <fgColor rgb="FFD8EFD8"/>
                  <bgColor rgb="FFD8EFD8"/>
                </patternFill>
              </fill>
            </x14:dxf>
          </x14:cfRule>
          <xm:sqref>H5:H19</xm:sqref>
        </x14:conditionalFormatting>
        <x14:conditionalFormatting xmlns:xm="http://schemas.microsoft.com/office/excel/2006/main">
          <x14:cfRule type="cellIs" priority="5" aboveAverage="0" operator="equal" rank="0" text="">
            <xm:f>0</xm:f>
            <x14:dxf>
              <fill>
                <patternFill patternType="solid">
                  <fgColor rgb="FFF6D5D5"/>
                  <bgColor rgb="FFF6D5D5"/>
                </patternFill>
              </fill>
            </x14:dxf>
          </x14:cfRule>
          <xm:sqref>H5:H19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30"/>
    <col customWidth="1" min="2" max="2" style="0" width="14"/>
    <col customWidth="1" min="3" max="3" style="0" width="22"/>
    <col customWidth="1" min="4" max="4" style="0" width="45"/>
    <col customWidth="1" min="5" max="6" style="0" width="12"/>
    <col customWidth="1" min="7" max="7" style="0" width="8"/>
    <col customWidth="1" min="8" max="8" style="0" width="60"/>
  </cols>
  <sheetData>
    <row r="1" ht="17.350000000000001">
      <c r="A1" s="7" t="s">
        <v>631</v>
      </c>
    </row>
    <row r="2" ht="15">
      <c r="A2" s="8" t="s">
        <v>632</v>
      </c>
    </row>
    <row r="4" ht="23.850000000000001">
      <c r="A4" s="10" t="s">
        <v>1</v>
      </c>
      <c r="B4" s="10" t="s">
        <v>390</v>
      </c>
      <c r="C4" s="10" t="s">
        <v>633</v>
      </c>
      <c r="D4" s="10" t="s">
        <v>634</v>
      </c>
      <c r="E4" s="10" t="s">
        <v>635</v>
      </c>
      <c r="F4" s="10" t="s">
        <v>445</v>
      </c>
      <c r="G4" s="10" t="s">
        <v>447</v>
      </c>
    </row>
    <row r="5" ht="15">
      <c r="A5" s="12" t="s">
        <v>636</v>
      </c>
      <c r="B5" s="12" t="s">
        <v>395</v>
      </c>
      <c r="C5" s="13" t="s">
        <v>637</v>
      </c>
      <c r="D5" s="12" t="s">
        <v>457</v>
      </c>
      <c r="E5" s="13" t="s">
        <v>455</v>
      </c>
      <c r="F5" s="13" t="s">
        <v>455</v>
      </c>
      <c r="G5" s="13">
        <f t="shared" ref="G5:G9" si="31">IF(E5="?","n.v.",IF(E5=F5,1,0))</f>
        <v>1</v>
      </c>
    </row>
    <row r="6" ht="23.850000000000001">
      <c r="A6" s="12" t="s">
        <v>638</v>
      </c>
      <c r="B6" s="12" t="s">
        <v>395</v>
      </c>
      <c r="C6" s="13" t="s">
        <v>639</v>
      </c>
      <c r="D6" s="12" t="s">
        <v>460</v>
      </c>
      <c r="E6" s="13" t="s">
        <v>455</v>
      </c>
      <c r="F6" s="13" t="s">
        <v>455</v>
      </c>
      <c r="G6" s="13">
        <f t="shared" si="31"/>
        <v>1</v>
      </c>
    </row>
    <row r="7" ht="15">
      <c r="A7" s="12" t="s">
        <v>640</v>
      </c>
      <c r="B7" s="12" t="s">
        <v>395</v>
      </c>
      <c r="C7" s="13" t="s">
        <v>641</v>
      </c>
      <c r="D7" s="12" t="s">
        <v>465</v>
      </c>
      <c r="E7" s="13" t="s">
        <v>455</v>
      </c>
      <c r="F7" s="13" t="s">
        <v>453</v>
      </c>
      <c r="G7" s="13">
        <f t="shared" si="31"/>
        <v>0</v>
      </c>
    </row>
    <row r="8" ht="15">
      <c r="A8" s="12" t="s">
        <v>642</v>
      </c>
      <c r="B8" s="12" t="s">
        <v>395</v>
      </c>
      <c r="C8" s="13" t="s">
        <v>643</v>
      </c>
      <c r="D8" s="12" t="s">
        <v>468</v>
      </c>
      <c r="E8" s="13" t="s">
        <v>455</v>
      </c>
      <c r="F8" s="13" t="s">
        <v>455</v>
      </c>
      <c r="G8" s="13">
        <f t="shared" si="31"/>
        <v>1</v>
      </c>
    </row>
    <row r="9" ht="15">
      <c r="A9" s="12" t="s">
        <v>644</v>
      </c>
      <c r="B9" s="12" t="s">
        <v>395</v>
      </c>
      <c r="C9" s="13" t="s">
        <v>645</v>
      </c>
      <c r="D9" s="12" t="s">
        <v>474</v>
      </c>
      <c r="E9" s="13" t="s">
        <v>455</v>
      </c>
      <c r="F9" s="13" t="s">
        <v>455</v>
      </c>
      <c r="G9" s="13">
        <f t="shared" si="31"/>
        <v>1</v>
      </c>
    </row>
    <row r="10" ht="15">
      <c r="A10" s="12" t="s">
        <v>644</v>
      </c>
      <c r="B10" s="12" t="s">
        <v>395</v>
      </c>
      <c r="C10" s="13" t="s">
        <v>646</v>
      </c>
      <c r="D10" s="12" t="s">
        <v>478</v>
      </c>
      <c r="E10" s="13" t="s">
        <v>455</v>
      </c>
      <c r="F10" s="13" t="s">
        <v>455</v>
      </c>
      <c r="G10" s="13">
        <f t="shared" ref="G10:G46" si="32">IF(E10="?","n.v.",IF(E10=F10,1,0))</f>
        <v>1</v>
      </c>
    </row>
    <row r="11" ht="15">
      <c r="A11" s="12" t="s">
        <v>644</v>
      </c>
      <c r="B11" s="12" t="s">
        <v>395</v>
      </c>
      <c r="C11" s="13" t="s">
        <v>647</v>
      </c>
      <c r="D11" s="12" t="s">
        <v>482</v>
      </c>
      <c r="E11" s="13" t="s">
        <v>481</v>
      </c>
      <c r="F11" s="13" t="s">
        <v>455</v>
      </c>
      <c r="G11" s="13" t="str">
        <f t="shared" si="32"/>
        <v>n.v.</v>
      </c>
    </row>
    <row r="12" ht="15">
      <c r="A12" s="12" t="s">
        <v>640</v>
      </c>
      <c r="B12" s="12" t="s">
        <v>395</v>
      </c>
      <c r="C12" s="13" t="s">
        <v>648</v>
      </c>
      <c r="D12" s="12" t="s">
        <v>486</v>
      </c>
      <c r="E12" s="13" t="s">
        <v>455</v>
      </c>
      <c r="F12" s="13" t="s">
        <v>455</v>
      </c>
      <c r="G12" s="13">
        <f t="shared" si="32"/>
        <v>1</v>
      </c>
    </row>
    <row r="13" ht="15">
      <c r="A13" s="12" t="s">
        <v>649</v>
      </c>
      <c r="B13" s="12" t="s">
        <v>396</v>
      </c>
      <c r="C13" s="13" t="s">
        <v>639</v>
      </c>
      <c r="D13" s="12" t="s">
        <v>491</v>
      </c>
      <c r="E13" s="13" t="s">
        <v>455</v>
      </c>
      <c r="F13" s="13" t="s">
        <v>455</v>
      </c>
      <c r="G13" s="13">
        <f t="shared" si="32"/>
        <v>1</v>
      </c>
    </row>
    <row r="14" ht="15">
      <c r="A14" s="12" t="s">
        <v>649</v>
      </c>
      <c r="B14" s="12" t="s">
        <v>396</v>
      </c>
      <c r="C14" s="13" t="s">
        <v>641</v>
      </c>
      <c r="D14" s="12" t="s">
        <v>495</v>
      </c>
      <c r="E14" s="13" t="s">
        <v>455</v>
      </c>
      <c r="F14" s="13" t="s">
        <v>453</v>
      </c>
      <c r="G14" s="13">
        <f t="shared" si="32"/>
        <v>0</v>
      </c>
    </row>
    <row r="15" ht="15">
      <c r="A15" s="12" t="s">
        <v>640</v>
      </c>
      <c r="B15" s="12" t="s">
        <v>396</v>
      </c>
      <c r="C15" s="13" t="s">
        <v>641</v>
      </c>
      <c r="D15" s="12" t="s">
        <v>495</v>
      </c>
      <c r="E15" s="13" t="s">
        <v>455</v>
      </c>
      <c r="F15" s="13" t="s">
        <v>453</v>
      </c>
      <c r="G15" s="13">
        <f t="shared" si="32"/>
        <v>0</v>
      </c>
    </row>
    <row r="16" ht="15">
      <c r="A16" s="12" t="s">
        <v>649</v>
      </c>
      <c r="B16" s="12" t="s">
        <v>396</v>
      </c>
      <c r="C16" s="13" t="s">
        <v>643</v>
      </c>
      <c r="D16" s="12" t="s">
        <v>498</v>
      </c>
      <c r="E16" s="13" t="s">
        <v>455</v>
      </c>
      <c r="F16" s="13" t="s">
        <v>455</v>
      </c>
      <c r="G16" s="13">
        <f t="shared" si="32"/>
        <v>1</v>
      </c>
    </row>
    <row r="17" ht="15">
      <c r="A17" s="12" t="s">
        <v>650</v>
      </c>
      <c r="B17" s="12" t="s">
        <v>396</v>
      </c>
      <c r="C17" s="13" t="s">
        <v>651</v>
      </c>
      <c r="D17" s="12" t="s">
        <v>500</v>
      </c>
      <c r="E17" s="13" t="s">
        <v>455</v>
      </c>
      <c r="F17" s="13" t="s">
        <v>455</v>
      </c>
      <c r="G17" s="13">
        <f t="shared" si="32"/>
        <v>1</v>
      </c>
    </row>
    <row r="18" ht="15">
      <c r="A18" s="12" t="s">
        <v>650</v>
      </c>
      <c r="B18" s="12" t="s">
        <v>396</v>
      </c>
      <c r="C18" s="13" t="s">
        <v>645</v>
      </c>
      <c r="D18" s="12" t="s">
        <v>503</v>
      </c>
      <c r="E18" s="13" t="s">
        <v>455</v>
      </c>
      <c r="F18" s="13" t="s">
        <v>455</v>
      </c>
      <c r="G18" s="13">
        <f t="shared" si="32"/>
        <v>1</v>
      </c>
    </row>
    <row r="19" ht="15">
      <c r="A19" s="12" t="s">
        <v>638</v>
      </c>
      <c r="B19" s="12" t="s">
        <v>396</v>
      </c>
      <c r="C19" s="13" t="s">
        <v>646</v>
      </c>
      <c r="D19" s="12" t="s">
        <v>505</v>
      </c>
      <c r="E19" s="13" t="s">
        <v>455</v>
      </c>
      <c r="F19" s="13" t="s">
        <v>455</v>
      </c>
      <c r="G19" s="13">
        <f t="shared" si="32"/>
        <v>1</v>
      </c>
    </row>
    <row r="20" ht="15">
      <c r="A20" s="12" t="s">
        <v>640</v>
      </c>
      <c r="B20" s="12" t="s">
        <v>396</v>
      </c>
      <c r="C20" s="13" t="s">
        <v>648</v>
      </c>
      <c r="D20" s="12" t="s">
        <v>509</v>
      </c>
      <c r="E20" s="13" t="s">
        <v>455</v>
      </c>
      <c r="F20" s="13" t="s">
        <v>455</v>
      </c>
      <c r="G20" s="13">
        <f t="shared" si="32"/>
        <v>1</v>
      </c>
    </row>
    <row r="21" ht="15">
      <c r="A21" s="12" t="s">
        <v>636</v>
      </c>
      <c r="B21" s="12" t="s">
        <v>397</v>
      </c>
      <c r="C21" s="13" t="s">
        <v>637</v>
      </c>
      <c r="D21" s="12" t="s">
        <v>513</v>
      </c>
      <c r="E21" s="13" t="s">
        <v>455</v>
      </c>
      <c r="F21" s="13" t="s">
        <v>455</v>
      </c>
      <c r="G21" s="13">
        <f t="shared" si="32"/>
        <v>1</v>
      </c>
    </row>
    <row r="22" ht="15">
      <c r="A22" s="12" t="s">
        <v>649</v>
      </c>
      <c r="B22" s="12" t="s">
        <v>397</v>
      </c>
      <c r="C22" s="13" t="s">
        <v>639</v>
      </c>
      <c r="D22" s="12" t="s">
        <v>515</v>
      </c>
      <c r="E22" s="13" t="s">
        <v>455</v>
      </c>
      <c r="F22" s="13" t="s">
        <v>455</v>
      </c>
      <c r="G22" s="13">
        <f t="shared" si="32"/>
        <v>1</v>
      </c>
    </row>
    <row r="23" ht="15">
      <c r="A23" s="12" t="s">
        <v>644</v>
      </c>
      <c r="B23" s="12" t="s">
        <v>397</v>
      </c>
      <c r="C23" s="13" t="s">
        <v>652</v>
      </c>
      <c r="D23" s="12" t="s">
        <v>518</v>
      </c>
      <c r="E23" s="13" t="s">
        <v>455</v>
      </c>
      <c r="F23" s="13" t="s">
        <v>453</v>
      </c>
      <c r="G23" s="13">
        <f t="shared" si="32"/>
        <v>0</v>
      </c>
    </row>
    <row r="24" ht="15">
      <c r="A24" s="12" t="s">
        <v>649</v>
      </c>
      <c r="B24" s="12" t="s">
        <v>397</v>
      </c>
      <c r="C24" s="13" t="s">
        <v>643</v>
      </c>
      <c r="D24" s="12" t="s">
        <v>522</v>
      </c>
      <c r="E24" s="13" t="s">
        <v>455</v>
      </c>
      <c r="F24" s="13" t="s">
        <v>455</v>
      </c>
      <c r="G24" s="13">
        <f t="shared" si="32"/>
        <v>1</v>
      </c>
    </row>
    <row r="25" ht="15">
      <c r="A25" s="12" t="s">
        <v>638</v>
      </c>
      <c r="B25" s="12" t="s">
        <v>397</v>
      </c>
      <c r="C25" s="13" t="s">
        <v>643</v>
      </c>
      <c r="D25" s="12" t="s">
        <v>522</v>
      </c>
      <c r="E25" s="13" t="s">
        <v>455</v>
      </c>
      <c r="F25" s="13" t="s">
        <v>455</v>
      </c>
      <c r="G25" s="13">
        <f t="shared" si="32"/>
        <v>1</v>
      </c>
    </row>
    <row r="26" ht="15">
      <c r="A26" s="12" t="s">
        <v>640</v>
      </c>
      <c r="B26" s="12" t="s">
        <v>397</v>
      </c>
      <c r="C26" s="13" t="s">
        <v>643</v>
      </c>
      <c r="D26" s="12" t="s">
        <v>522</v>
      </c>
      <c r="E26" s="13" t="s">
        <v>455</v>
      </c>
      <c r="F26" s="13" t="s">
        <v>455</v>
      </c>
      <c r="G26" s="13">
        <f t="shared" si="32"/>
        <v>1</v>
      </c>
    </row>
    <row r="27" ht="15">
      <c r="A27" s="12" t="s">
        <v>640</v>
      </c>
      <c r="B27" s="12" t="s">
        <v>397</v>
      </c>
      <c r="C27" s="13" t="s">
        <v>651</v>
      </c>
      <c r="D27" s="12" t="s">
        <v>524</v>
      </c>
      <c r="E27" s="13" t="s">
        <v>455</v>
      </c>
      <c r="F27" s="13" t="s">
        <v>455</v>
      </c>
      <c r="G27" s="13">
        <f t="shared" si="32"/>
        <v>1</v>
      </c>
    </row>
    <row r="28" ht="23.850000000000001">
      <c r="A28" s="12" t="s">
        <v>653</v>
      </c>
      <c r="B28" s="12" t="s">
        <v>397</v>
      </c>
      <c r="C28" s="13" t="s">
        <v>645</v>
      </c>
      <c r="D28" s="12" t="s">
        <v>527</v>
      </c>
      <c r="E28" s="13" t="s">
        <v>453</v>
      </c>
      <c r="F28" s="13" t="s">
        <v>455</v>
      </c>
      <c r="G28" s="13">
        <f t="shared" si="32"/>
        <v>0</v>
      </c>
    </row>
    <row r="29" ht="23.850000000000001">
      <c r="A29" s="12" t="s">
        <v>640</v>
      </c>
      <c r="B29" s="12" t="s">
        <v>397</v>
      </c>
      <c r="C29" s="13" t="s">
        <v>645</v>
      </c>
      <c r="D29" s="12" t="s">
        <v>527</v>
      </c>
      <c r="E29" s="13" t="s">
        <v>453</v>
      </c>
      <c r="F29" s="13" t="s">
        <v>455</v>
      </c>
      <c r="G29" s="13">
        <f t="shared" si="32"/>
        <v>0</v>
      </c>
    </row>
    <row r="30" ht="15">
      <c r="A30" s="12" t="s">
        <v>653</v>
      </c>
      <c r="B30" s="12" t="s">
        <v>398</v>
      </c>
      <c r="C30" s="13" t="s">
        <v>639</v>
      </c>
      <c r="D30" s="12" t="s">
        <v>537</v>
      </c>
      <c r="E30" s="13" t="s">
        <v>455</v>
      </c>
      <c r="F30" s="13" t="s">
        <v>455</v>
      </c>
      <c r="G30" s="13">
        <f t="shared" si="32"/>
        <v>1</v>
      </c>
    </row>
    <row r="31" ht="15">
      <c r="A31" s="12" t="s">
        <v>644</v>
      </c>
      <c r="B31" s="12" t="s">
        <v>398</v>
      </c>
      <c r="C31" s="13" t="s">
        <v>652</v>
      </c>
      <c r="D31" s="12" t="s">
        <v>540</v>
      </c>
      <c r="E31" s="13" t="s">
        <v>455</v>
      </c>
      <c r="F31" s="13" t="s">
        <v>453</v>
      </c>
      <c r="G31" s="13">
        <f t="shared" si="32"/>
        <v>0</v>
      </c>
    </row>
    <row r="32" ht="15">
      <c r="A32" s="12" t="s">
        <v>638</v>
      </c>
      <c r="B32" s="12" t="s">
        <v>398</v>
      </c>
      <c r="C32" s="13" t="s">
        <v>641</v>
      </c>
      <c r="D32" s="12" t="s">
        <v>543</v>
      </c>
      <c r="E32" s="13" t="s">
        <v>455</v>
      </c>
      <c r="F32" s="13" t="s">
        <v>453</v>
      </c>
      <c r="G32" s="13">
        <f t="shared" si="32"/>
        <v>0</v>
      </c>
    </row>
    <row r="33" ht="15">
      <c r="A33" s="12" t="s">
        <v>649</v>
      </c>
      <c r="B33" s="12" t="s">
        <v>398</v>
      </c>
      <c r="C33" s="13" t="s">
        <v>643</v>
      </c>
      <c r="D33" s="12" t="s">
        <v>546</v>
      </c>
      <c r="E33" s="13" t="s">
        <v>455</v>
      </c>
      <c r="F33" s="13" t="s">
        <v>455</v>
      </c>
      <c r="G33" s="13">
        <f t="shared" si="32"/>
        <v>1</v>
      </c>
    </row>
    <row r="34" ht="15">
      <c r="A34" s="12" t="s">
        <v>654</v>
      </c>
      <c r="B34" s="12" t="s">
        <v>398</v>
      </c>
      <c r="C34" s="13" t="s">
        <v>651</v>
      </c>
      <c r="D34" s="12" t="s">
        <v>548</v>
      </c>
      <c r="E34" s="13" t="s">
        <v>455</v>
      </c>
      <c r="F34" s="13" t="s">
        <v>455</v>
      </c>
      <c r="G34" s="13">
        <f t="shared" si="32"/>
        <v>1</v>
      </c>
    </row>
    <row r="35" ht="15">
      <c r="A35" s="12" t="s">
        <v>644</v>
      </c>
      <c r="B35" s="12" t="s">
        <v>398</v>
      </c>
      <c r="C35" s="13" t="s">
        <v>645</v>
      </c>
      <c r="D35" s="12" t="s">
        <v>551</v>
      </c>
      <c r="E35" s="13" t="s">
        <v>455</v>
      </c>
      <c r="F35" s="13" t="s">
        <v>455</v>
      </c>
      <c r="G35" s="13">
        <f t="shared" si="32"/>
        <v>1</v>
      </c>
    </row>
    <row r="36" ht="15">
      <c r="A36" s="12" t="s">
        <v>650</v>
      </c>
      <c r="B36" s="12" t="s">
        <v>398</v>
      </c>
      <c r="C36" s="13" t="s">
        <v>646</v>
      </c>
      <c r="D36" s="12" t="s">
        <v>553</v>
      </c>
      <c r="E36" s="13" t="s">
        <v>455</v>
      </c>
      <c r="F36" s="13" t="s">
        <v>455</v>
      </c>
      <c r="G36" s="13">
        <f t="shared" si="32"/>
        <v>1</v>
      </c>
    </row>
    <row r="37" ht="15">
      <c r="A37" s="12" t="s">
        <v>654</v>
      </c>
      <c r="B37" s="12" t="s">
        <v>398</v>
      </c>
      <c r="C37" s="13" t="s">
        <v>646</v>
      </c>
      <c r="D37" s="12" t="s">
        <v>553</v>
      </c>
      <c r="E37" s="13" t="s">
        <v>455</v>
      </c>
      <c r="F37" s="13" t="s">
        <v>455</v>
      </c>
      <c r="G37" s="13">
        <f t="shared" si="32"/>
        <v>1</v>
      </c>
    </row>
    <row r="38" ht="15">
      <c r="A38" s="12" t="s">
        <v>640</v>
      </c>
      <c r="B38" s="12" t="s">
        <v>398</v>
      </c>
      <c r="C38" s="13" t="s">
        <v>647</v>
      </c>
      <c r="D38" s="12" t="s">
        <v>556</v>
      </c>
      <c r="E38" s="13" t="s">
        <v>455</v>
      </c>
      <c r="F38" s="13" t="s">
        <v>455</v>
      </c>
      <c r="G38" s="13">
        <f t="shared" si="32"/>
        <v>1</v>
      </c>
    </row>
    <row r="39" ht="15">
      <c r="A39" s="12" t="s">
        <v>640</v>
      </c>
      <c r="B39" s="12" t="s">
        <v>398</v>
      </c>
      <c r="C39" s="13" t="s">
        <v>648</v>
      </c>
      <c r="D39" s="12" t="s">
        <v>561</v>
      </c>
      <c r="E39" s="13" t="s">
        <v>455</v>
      </c>
      <c r="F39" s="13" t="s">
        <v>455</v>
      </c>
      <c r="G39" s="13">
        <f t="shared" si="32"/>
        <v>1</v>
      </c>
    </row>
    <row r="40" ht="15">
      <c r="A40" s="12" t="s">
        <v>649</v>
      </c>
      <c r="B40" s="12" t="s">
        <v>399</v>
      </c>
      <c r="C40" s="13" t="s">
        <v>655</v>
      </c>
      <c r="D40" s="12" t="s">
        <v>564</v>
      </c>
      <c r="E40" s="13" t="s">
        <v>455</v>
      </c>
      <c r="F40" s="13" t="s">
        <v>455</v>
      </c>
      <c r="G40" s="13">
        <f t="shared" si="32"/>
        <v>1</v>
      </c>
    </row>
    <row r="41" ht="15">
      <c r="A41" s="12" t="s">
        <v>636</v>
      </c>
      <c r="B41" s="12" t="s">
        <v>399</v>
      </c>
      <c r="C41" s="13" t="s">
        <v>637</v>
      </c>
      <c r="D41" s="12" t="s">
        <v>566</v>
      </c>
      <c r="E41" s="13" t="s">
        <v>455</v>
      </c>
      <c r="F41" s="13" t="s">
        <v>455</v>
      </c>
      <c r="G41" s="13">
        <f t="shared" si="32"/>
        <v>1</v>
      </c>
    </row>
    <row r="42" ht="15">
      <c r="A42" s="12" t="s">
        <v>649</v>
      </c>
      <c r="B42" s="12" t="s">
        <v>399</v>
      </c>
      <c r="C42" s="13" t="s">
        <v>639</v>
      </c>
      <c r="D42" s="12" t="s">
        <v>564</v>
      </c>
      <c r="E42" s="13" t="s">
        <v>455</v>
      </c>
      <c r="F42" s="13" t="s">
        <v>455</v>
      </c>
      <c r="G42" s="13">
        <f t="shared" si="32"/>
        <v>1</v>
      </c>
    </row>
    <row r="43" ht="15">
      <c r="A43" s="12" t="s">
        <v>649</v>
      </c>
      <c r="B43" s="12" t="s">
        <v>399</v>
      </c>
      <c r="C43" s="13" t="s">
        <v>643</v>
      </c>
      <c r="D43" s="12" t="s">
        <v>564</v>
      </c>
      <c r="E43" s="13" t="s">
        <v>455</v>
      </c>
      <c r="F43" s="13" t="s">
        <v>455</v>
      </c>
      <c r="G43" s="13">
        <f t="shared" si="32"/>
        <v>1</v>
      </c>
    </row>
    <row r="44" ht="15">
      <c r="A44" s="12" t="s">
        <v>644</v>
      </c>
      <c r="B44" s="12" t="s">
        <v>399</v>
      </c>
      <c r="C44" s="13" t="s">
        <v>645</v>
      </c>
      <c r="D44" s="12" t="s">
        <v>576</v>
      </c>
      <c r="E44" s="13" t="s">
        <v>481</v>
      </c>
      <c r="F44" s="13" t="s">
        <v>455</v>
      </c>
      <c r="G44" s="13" t="str">
        <f t="shared" si="32"/>
        <v>n.v.</v>
      </c>
    </row>
    <row r="45" ht="15">
      <c r="A45" s="12" t="s">
        <v>654</v>
      </c>
      <c r="B45" s="12" t="s">
        <v>399</v>
      </c>
      <c r="C45" s="13" t="s">
        <v>646</v>
      </c>
      <c r="D45" s="12" t="s">
        <v>579</v>
      </c>
      <c r="E45" s="13" t="s">
        <v>455</v>
      </c>
      <c r="F45" s="13" t="s">
        <v>455</v>
      </c>
      <c r="G45" s="13">
        <f t="shared" si="32"/>
        <v>1</v>
      </c>
    </row>
    <row r="46" ht="15">
      <c r="A46" s="12" t="s">
        <v>640</v>
      </c>
      <c r="B46" s="12" t="s">
        <v>399</v>
      </c>
      <c r="C46" s="13" t="s">
        <v>647</v>
      </c>
      <c r="D46" s="12" t="s">
        <v>524</v>
      </c>
      <c r="E46" s="13" t="s">
        <v>455</v>
      </c>
      <c r="F46" s="13" t="s">
        <v>455</v>
      </c>
      <c r="G46" s="13">
        <f t="shared" si="32"/>
        <v>1</v>
      </c>
    </row>
    <row r="47" ht="15">
      <c r="A47" s="12" t="s">
        <v>654</v>
      </c>
      <c r="B47" s="12" t="s">
        <v>395</v>
      </c>
      <c r="C47" s="13" t="s">
        <v>656</v>
      </c>
      <c r="D47" s="12" t="s">
        <v>615</v>
      </c>
      <c r="E47" s="13" t="s">
        <v>613</v>
      </c>
      <c r="F47" s="13" t="s">
        <v>613</v>
      </c>
      <c r="G47" s="13">
        <f t="shared" ref="G47:G49" si="33">IF(E47=F47,1,0)</f>
        <v>1</v>
      </c>
    </row>
    <row r="48" ht="15">
      <c r="A48" s="12" t="s">
        <v>642</v>
      </c>
      <c r="B48" s="12" t="s">
        <v>395</v>
      </c>
      <c r="C48" s="13" t="s">
        <v>657</v>
      </c>
      <c r="D48" s="12" t="s">
        <v>617</v>
      </c>
      <c r="E48" s="13" t="s">
        <v>613</v>
      </c>
      <c r="F48" s="13" t="s">
        <v>613</v>
      </c>
      <c r="G48" s="13">
        <f t="shared" si="33"/>
        <v>1</v>
      </c>
    </row>
    <row r="49" ht="15">
      <c r="A49" s="12" t="s">
        <v>649</v>
      </c>
      <c r="B49" s="12" t="s">
        <v>398</v>
      </c>
      <c r="C49" s="13" t="s">
        <v>656</v>
      </c>
      <c r="D49" s="12" t="s">
        <v>622</v>
      </c>
      <c r="E49" s="13" t="s">
        <v>613</v>
      </c>
      <c r="F49" s="13" t="s">
        <v>613</v>
      </c>
      <c r="G49" s="13">
        <f t="shared" si="33"/>
        <v>1</v>
      </c>
    </row>
    <row r="51" ht="15">
      <c r="A51" s="9" t="s">
        <v>658</v>
      </c>
    </row>
    <row r="52" ht="15">
      <c r="A52" s="10" t="s">
        <v>1</v>
      </c>
      <c r="B52" s="10" t="s">
        <v>659</v>
      </c>
      <c r="C52" s="10" t="s">
        <v>660</v>
      </c>
      <c r="D52" s="10" t="s">
        <v>661</v>
      </c>
      <c r="E52" s="10" t="s">
        <v>662</v>
      </c>
      <c r="F52" s="10"/>
      <c r="G52" s="10"/>
      <c r="H52" s="10" t="s">
        <v>400</v>
      </c>
    </row>
    <row r="53" ht="23.850000000000001">
      <c r="A53" s="11" t="s">
        <v>649</v>
      </c>
      <c r="B53" s="13">
        <f t="shared" ref="B53:B61" si="34">COUNTIF($A$5:$A$49,A53)</f>
        <v>10</v>
      </c>
      <c r="C53" s="12" t="s">
        <v>663</v>
      </c>
      <c r="D53" s="13">
        <f t="shared" ref="D53:D61" si="35">COUNTIFS($A$5:$A$49,A53,$G$5:$G$49,1)</f>
        <v>9</v>
      </c>
      <c r="E53" s="18">
        <f t="shared" ref="E53:E61" si="36">IFERROR(D53/COUNTIFS($A$5:$A$49,A53,$G$5:$G$49,"&lt;&gt;n.v."),0)</f>
        <v>0.9</v>
      </c>
      <c r="H53" s="12" t="s">
        <v>664</v>
      </c>
    </row>
    <row r="54" ht="35.049999999999997">
      <c r="A54" s="11" t="s">
        <v>640</v>
      </c>
      <c r="B54" s="13">
        <f t="shared" si="34"/>
        <v>10</v>
      </c>
      <c r="C54" s="12" t="s">
        <v>665</v>
      </c>
      <c r="D54" s="13">
        <f t="shared" si="35"/>
        <v>7</v>
      </c>
      <c r="E54" s="18">
        <f t="shared" si="36"/>
        <v>0.7</v>
      </c>
      <c r="H54" s="12" t="s">
        <v>666</v>
      </c>
    </row>
    <row r="55" ht="23.850000000000001">
      <c r="A55" s="11" t="s">
        <v>638</v>
      </c>
      <c r="B55" s="13">
        <f t="shared" si="34"/>
        <v>4</v>
      </c>
      <c r="C55" s="12" t="s">
        <v>667</v>
      </c>
      <c r="D55" s="13">
        <f t="shared" si="35"/>
        <v>3</v>
      </c>
      <c r="E55" s="18">
        <f t="shared" si="36"/>
        <v>0.75</v>
      </c>
      <c r="H55" s="12" t="s">
        <v>668</v>
      </c>
    </row>
    <row r="56" ht="15">
      <c r="A56" s="11" t="s">
        <v>650</v>
      </c>
      <c r="B56" s="13">
        <f t="shared" si="34"/>
        <v>3</v>
      </c>
      <c r="C56" s="12" t="s">
        <v>669</v>
      </c>
      <c r="D56" s="13">
        <f t="shared" si="35"/>
        <v>3</v>
      </c>
      <c r="E56" s="18">
        <f t="shared" si="36"/>
        <v>1</v>
      </c>
      <c r="H56" s="12" t="s">
        <v>670</v>
      </c>
    </row>
    <row r="57" ht="23.850000000000001">
      <c r="A57" s="11" t="s">
        <v>644</v>
      </c>
      <c r="B57" s="13">
        <f t="shared" si="34"/>
        <v>7</v>
      </c>
      <c r="C57" s="12" t="s">
        <v>671</v>
      </c>
      <c r="D57" s="13">
        <f t="shared" si="35"/>
        <v>3</v>
      </c>
      <c r="E57" s="18">
        <f t="shared" si="36"/>
        <v>0.6</v>
      </c>
      <c r="H57" s="12" t="s">
        <v>672</v>
      </c>
    </row>
    <row r="58" ht="23.850000000000001">
      <c r="A58" s="11" t="s">
        <v>654</v>
      </c>
      <c r="B58" s="13">
        <f t="shared" si="34"/>
        <v>4</v>
      </c>
      <c r="C58" s="12" t="s">
        <v>673</v>
      </c>
      <c r="D58" s="13">
        <f t="shared" si="35"/>
        <v>4</v>
      </c>
      <c r="E58" s="18">
        <f t="shared" si="36"/>
        <v>1</v>
      </c>
      <c r="H58" s="12" t="s">
        <v>674</v>
      </c>
    </row>
    <row r="59" ht="23.850000000000001">
      <c r="A59" s="11" t="s">
        <v>636</v>
      </c>
      <c r="B59" s="13">
        <f t="shared" si="34"/>
        <v>3</v>
      </c>
      <c r="C59" s="12" t="s">
        <v>675</v>
      </c>
      <c r="D59" s="13">
        <f t="shared" si="35"/>
        <v>3</v>
      </c>
      <c r="E59" s="18">
        <f t="shared" si="36"/>
        <v>1</v>
      </c>
      <c r="H59" s="12" t="s">
        <v>676</v>
      </c>
    </row>
    <row r="60" ht="15">
      <c r="A60" s="11" t="s">
        <v>653</v>
      </c>
      <c r="B60" s="13">
        <f t="shared" si="34"/>
        <v>2</v>
      </c>
      <c r="C60" s="12" t="s">
        <v>677</v>
      </c>
      <c r="D60" s="13">
        <f t="shared" si="35"/>
        <v>1</v>
      </c>
      <c r="E60" s="18">
        <f t="shared" si="36"/>
        <v>0.5</v>
      </c>
      <c r="H60" s="12" t="s">
        <v>678</v>
      </c>
    </row>
    <row r="61" ht="15">
      <c r="A61" s="11" t="s">
        <v>642</v>
      </c>
      <c r="B61" s="13">
        <f t="shared" si="34"/>
        <v>2</v>
      </c>
      <c r="C61" s="12" t="s">
        <v>395</v>
      </c>
      <c r="D61" s="13">
        <f t="shared" si="35"/>
        <v>2</v>
      </c>
      <c r="E61" s="18">
        <f t="shared" si="36"/>
        <v>1</v>
      </c>
      <c r="H61" s="12" t="s">
        <v>679</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2" aboveAverage="0" operator="equal" rank="0" text="">
            <xm:f>1</xm:f>
            <x14:dxf>
              <fill>
                <patternFill patternType="solid">
                  <fgColor rgb="FFD8EFD8"/>
                  <bgColor rgb="FFD8EFD8"/>
                </patternFill>
              </fill>
            </x14:dxf>
          </x14:cfRule>
          <xm:sqref>G5:G49</xm:sqref>
        </x14:conditionalFormatting>
        <x14:conditionalFormatting xmlns:xm="http://schemas.microsoft.com/office/excel/2006/main">
          <x14:cfRule type="cellIs" priority="3" aboveAverage="0" operator="equal" rank="0" text="">
            <xm:f>0</xm:f>
            <x14:dxf>
              <fill>
                <patternFill patternType="solid">
                  <fgColor rgb="FFF6D5D5"/>
                  <bgColor rgb="FFF6D5D5"/>
                </patternFill>
              </fill>
            </x14:dxf>
          </x14:cfRule>
          <xm:sqref>G5:G49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20"/>
    <col customWidth="1" min="2" max="6" style="0" width="13"/>
    <col customWidth="1" min="7" max="8" style="0" width="9"/>
    <col customWidth="1" min="9" max="10" style="0" width="12"/>
    <col customWidth="1" min="11" max="11" style="0" width="60"/>
  </cols>
  <sheetData>
    <row r="1" ht="17.350000000000001">
      <c r="A1" s="7" t="s">
        <v>680</v>
      </c>
    </row>
    <row r="2" ht="15">
      <c r="A2" s="8" t="s">
        <v>681</v>
      </c>
    </row>
    <row r="4" ht="23.850000000000001">
      <c r="A4" s="10" t="s">
        <v>682</v>
      </c>
      <c r="B4" s="10" t="s">
        <v>395</v>
      </c>
      <c r="C4" s="10" t="s">
        <v>396</v>
      </c>
      <c r="D4" s="10" t="s">
        <v>397</v>
      </c>
      <c r="E4" s="10" t="s">
        <v>398</v>
      </c>
      <c r="F4" s="10" t="s">
        <v>399</v>
      </c>
      <c r="G4" s="10" t="s">
        <v>683</v>
      </c>
      <c r="H4" s="10" t="s">
        <v>684</v>
      </c>
      <c r="I4" s="10" t="s">
        <v>685</v>
      </c>
      <c r="J4" s="10" t="s">
        <v>621</v>
      </c>
      <c r="K4" s="10" t="s">
        <v>686</v>
      </c>
    </row>
    <row r="5" ht="15">
      <c r="A5" s="11" t="s">
        <v>687</v>
      </c>
      <c r="B5" s="24" t="s">
        <v>683</v>
      </c>
      <c r="C5" s="24" t="s">
        <v>684</v>
      </c>
      <c r="D5" s="24" t="s">
        <v>683</v>
      </c>
      <c r="E5" s="24" t="s">
        <v>683</v>
      </c>
      <c r="F5" s="24" t="s">
        <v>683</v>
      </c>
      <c r="G5" s="13">
        <f t="shared" ref="G5:G9" si="37">COUNTIF(B5:F5,"Sì")</f>
        <v>4</v>
      </c>
      <c r="H5" s="13">
        <f t="shared" ref="H5:H9" si="38">COUNTIF(B5:F5,"No")</f>
        <v>1</v>
      </c>
      <c r="I5" s="13">
        <f t="shared" ref="I5:I9" si="39">COUNTIF(B5:F5,"Non sappiamo")</f>
        <v>0</v>
      </c>
      <c r="J5" s="13">
        <f t="shared" ref="J5:J9" si="40">5-G5-H5-I5</f>
        <v>0</v>
      </c>
      <c r="K5" s="13" t="str">
        <f t="shared" ref="K5:K9" si="41">IF(G5=5,"Unanime: sospetta",IF(G5&gt;=(G5+H5+I5)*0.75,"Ampia maggioranza: sospetta",IF(G5&gt;H5+I5,"Maggioranza: sospetta","Divisi / incerti")))</f>
        <v xml:space="preserve">Ampia maggioranza: sospetta</v>
      </c>
    </row>
    <row r="6" ht="15">
      <c r="A6" s="11" t="s">
        <v>688</v>
      </c>
      <c r="B6" s="24" t="s">
        <v>685</v>
      </c>
      <c r="C6" s="24"/>
      <c r="D6" s="24" t="s">
        <v>683</v>
      </c>
      <c r="E6" s="24"/>
      <c r="F6" s="24" t="s">
        <v>684</v>
      </c>
      <c r="G6" s="13">
        <f t="shared" si="37"/>
        <v>1</v>
      </c>
      <c r="H6" s="13">
        <f t="shared" si="38"/>
        <v>1</v>
      </c>
      <c r="I6" s="13">
        <f t="shared" si="39"/>
        <v>1</v>
      </c>
      <c r="J6" s="13">
        <f t="shared" si="40"/>
        <v>2</v>
      </c>
      <c r="K6" s="13" t="str">
        <f t="shared" si="41"/>
        <v xml:space="preserve">Divisi / incerti</v>
      </c>
    </row>
    <row r="7" ht="15">
      <c r="A7" s="11" t="s">
        <v>689</v>
      </c>
      <c r="B7" s="24" t="s">
        <v>683</v>
      </c>
      <c r="C7" s="24" t="s">
        <v>683</v>
      </c>
      <c r="D7" s="24" t="s">
        <v>683</v>
      </c>
      <c r="E7" s="24" t="s">
        <v>683</v>
      </c>
      <c r="F7" s="24" t="s">
        <v>684</v>
      </c>
      <c r="G7" s="13">
        <f t="shared" si="37"/>
        <v>4</v>
      </c>
      <c r="H7" s="13">
        <f t="shared" si="38"/>
        <v>1</v>
      </c>
      <c r="I7" s="13">
        <f t="shared" si="39"/>
        <v>0</v>
      </c>
      <c r="J7" s="13">
        <f t="shared" si="40"/>
        <v>0</v>
      </c>
      <c r="K7" s="13" t="str">
        <f t="shared" si="41"/>
        <v xml:space="preserve">Ampia maggioranza: sospetta</v>
      </c>
    </row>
    <row r="8" ht="15">
      <c r="A8" s="11" t="s">
        <v>690</v>
      </c>
      <c r="B8" s="24" t="s">
        <v>683</v>
      </c>
      <c r="C8" s="24"/>
      <c r="D8" s="24" t="s">
        <v>683</v>
      </c>
      <c r="E8" s="24" t="s">
        <v>683</v>
      </c>
      <c r="F8" s="24" t="s">
        <v>683</v>
      </c>
      <c r="G8" s="13">
        <f t="shared" si="37"/>
        <v>4</v>
      </c>
      <c r="H8" s="13">
        <f t="shared" si="38"/>
        <v>0</v>
      </c>
      <c r="I8" s="13">
        <f t="shared" si="39"/>
        <v>0</v>
      </c>
      <c r="J8" s="13">
        <f t="shared" si="40"/>
        <v>1</v>
      </c>
      <c r="K8" s="13" t="str">
        <f t="shared" si="41"/>
        <v xml:space="preserve">Ampia maggioranza: sospetta</v>
      </c>
    </row>
    <row r="9" ht="15">
      <c r="A9" s="11" t="s">
        <v>691</v>
      </c>
      <c r="B9" s="24" t="s">
        <v>683</v>
      </c>
      <c r="C9" s="24" t="s">
        <v>683</v>
      </c>
      <c r="D9" s="24" t="s">
        <v>683</v>
      </c>
      <c r="E9" s="24" t="s">
        <v>683</v>
      </c>
      <c r="F9" s="24" t="s">
        <v>685</v>
      </c>
      <c r="G9" s="13">
        <f t="shared" si="37"/>
        <v>4</v>
      </c>
      <c r="H9" s="13">
        <f t="shared" si="38"/>
        <v>0</v>
      </c>
      <c r="I9" s="13">
        <f t="shared" si="39"/>
        <v>1</v>
      </c>
      <c r="J9" s="13">
        <f t="shared" si="40"/>
        <v>0</v>
      </c>
      <c r="K9" s="13" t="str">
        <f t="shared" si="41"/>
        <v xml:space="preserve">Ampia maggioranza: sospetta</v>
      </c>
    </row>
    <row r="11" ht="15">
      <c r="A11" s="9" t="s">
        <v>692</v>
      </c>
    </row>
    <row r="12" ht="15" customHeight="1">
      <c r="A12" s="10" t="s">
        <v>682</v>
      </c>
      <c r="B12" s="10" t="s">
        <v>693</v>
      </c>
      <c r="C12" s="10"/>
      <c r="D12" s="10"/>
      <c r="E12" s="10"/>
      <c r="F12" s="10" t="s">
        <v>694</v>
      </c>
      <c r="G12" s="10"/>
      <c r="H12" s="10"/>
      <c r="I12" s="10"/>
      <c r="J12" s="10"/>
      <c r="K12" s="10" t="s">
        <v>695</v>
      </c>
    </row>
    <row r="13" ht="135" customHeight="1">
      <c r="A13" s="11" t="s">
        <v>687</v>
      </c>
      <c r="B13" s="23" t="s">
        <v>696</v>
      </c>
      <c r="C13" s="23"/>
      <c r="D13" s="23"/>
      <c r="E13" s="23"/>
      <c r="F13" s="23" t="s">
        <v>697</v>
      </c>
      <c r="G13" s="23"/>
      <c r="H13" s="23"/>
      <c r="I13" s="23"/>
      <c r="J13" s="23"/>
      <c r="K13" s="12" t="s">
        <v>698</v>
      </c>
    </row>
    <row r="14" ht="75" customHeight="1">
      <c r="A14" s="11" t="s">
        <v>688</v>
      </c>
      <c r="B14" s="23" t="s">
        <v>699</v>
      </c>
      <c r="C14" s="23"/>
      <c r="D14" s="23"/>
      <c r="E14" s="23"/>
      <c r="F14" s="23" t="s">
        <v>700</v>
      </c>
      <c r="G14" s="23"/>
      <c r="H14" s="23"/>
      <c r="I14" s="23"/>
      <c r="J14" s="23"/>
      <c r="K14" s="12" t="s">
        <v>701</v>
      </c>
    </row>
    <row r="15" ht="105" customHeight="1">
      <c r="A15" s="11" t="s">
        <v>689</v>
      </c>
      <c r="B15" s="23" t="s">
        <v>702</v>
      </c>
      <c r="C15" s="23"/>
      <c r="D15" s="23"/>
      <c r="E15" s="23"/>
      <c r="F15" s="23" t="s">
        <v>703</v>
      </c>
      <c r="G15" s="23"/>
      <c r="H15" s="23"/>
      <c r="I15" s="23"/>
      <c r="J15" s="23"/>
      <c r="K15" s="12" t="s">
        <v>704</v>
      </c>
    </row>
    <row r="16" ht="285" customHeight="1">
      <c r="A16" s="11" t="s">
        <v>690</v>
      </c>
      <c r="B16" s="23" t="s">
        <v>705</v>
      </c>
      <c r="C16" s="23"/>
      <c r="D16" s="23"/>
      <c r="E16" s="23"/>
      <c r="F16" s="23" t="s">
        <v>706</v>
      </c>
      <c r="G16" s="23"/>
      <c r="H16" s="23"/>
      <c r="I16" s="23"/>
      <c r="J16" s="23"/>
      <c r="K16" s="12" t="s">
        <v>707</v>
      </c>
    </row>
    <row r="17" ht="210" customHeight="1">
      <c r="A17" s="11" t="s">
        <v>691</v>
      </c>
      <c r="B17" s="23" t="s">
        <v>708</v>
      </c>
      <c r="C17" s="23"/>
      <c r="D17" s="23"/>
      <c r="E17" s="23"/>
      <c r="F17" s="23" t="s">
        <v>709</v>
      </c>
      <c r="G17" s="23"/>
      <c r="H17" s="23"/>
      <c r="I17" s="23"/>
      <c r="J17" s="23"/>
      <c r="K17" s="12" t="s">
        <v>710</v>
      </c>
    </row>
    <row r="18" ht="150" customHeight="1">
      <c r="A18" s="11" t="s">
        <v>711</v>
      </c>
      <c r="B18" s="23" t="s">
        <v>712</v>
      </c>
      <c r="C18" s="23"/>
      <c r="D18" s="23"/>
      <c r="E18" s="23"/>
      <c r="F18" s="23" t="s">
        <v>713</v>
      </c>
      <c r="G18" s="23"/>
      <c r="H18" s="23"/>
      <c r="I18" s="23"/>
      <c r="J18" s="23"/>
      <c r="K18" s="12" t="s">
        <v>714</v>
      </c>
    </row>
    <row r="19" ht="60" customHeight="1">
      <c r="A19" s="11" t="s">
        <v>715</v>
      </c>
      <c r="B19" s="23" t="s">
        <v>716</v>
      </c>
      <c r="C19" s="23"/>
      <c r="D19" s="23"/>
      <c r="E19" s="23"/>
      <c r="F19" s="23" t="s">
        <v>700</v>
      </c>
      <c r="G19" s="23"/>
      <c r="H19" s="23"/>
      <c r="I19" s="23"/>
      <c r="J19" s="23"/>
      <c r="K19" s="12" t="s">
        <v>717</v>
      </c>
    </row>
  </sheetData>
  <mergeCells count="16">
    <mergeCell ref="B12:E12"/>
    <mergeCell ref="F12:J12"/>
    <mergeCell ref="B13:E13"/>
    <mergeCell ref="F13:J13"/>
    <mergeCell ref="B14:E14"/>
    <mergeCell ref="F14:J14"/>
    <mergeCell ref="B15:E15"/>
    <mergeCell ref="F15:J15"/>
    <mergeCell ref="B16:E16"/>
    <mergeCell ref="F16:J16"/>
    <mergeCell ref="B17:E17"/>
    <mergeCell ref="F17:J17"/>
    <mergeCell ref="B18:E18"/>
    <mergeCell ref="F18:J18"/>
    <mergeCell ref="B19:E19"/>
    <mergeCell ref="F19:J19"/>
  </mergeCell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legacyDrawing r:id="rId3"/>
  <extLst>
    <ext xmlns:x14="http://schemas.microsoft.com/office/spreadsheetml/2009/9/main" uri="{78C0D931-6437-407d-A8EE-F0AAD7539E65}">
      <x14:conditionalFormattings>
        <x14:conditionalFormatting xmlns:xm="http://schemas.microsoft.com/office/excel/2006/main">
          <x14:cfRule type="cellIs" priority="2" aboveAverage="0" operator="equal" rank="0" text="">
            <xm:f>"No"</xm:f>
            <x14:dxf>
              <fill>
                <patternFill patternType="solid">
                  <fgColor rgb="FFFBE7C6"/>
                  <bgColor rgb="FFFBE7C6"/>
                </patternFill>
              </fill>
            </x14:dxf>
          </x14:cfRule>
          <xm:sqref>B5:F9</xm:sqref>
        </x14:conditionalFormatting>
        <x14:conditionalFormatting xmlns:xm="http://schemas.microsoft.com/office/excel/2006/main">
          <x14:cfRule type="cellIs" priority="3" aboveAverage="0" operator="equal" rank="0" text="">
            <xm:f>"Non sappiamo"</xm:f>
            <x14:dxf>
              <fill>
                <patternFill patternType="solid">
                  <fgColor rgb="FFFFF4C2"/>
                  <bgColor rgb="FFFFF4C2"/>
                </patternFill>
              </fill>
            </x14:dxf>
          </x14:cfRule>
          <xm:sqref>B5:F9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xSplit="2" ySplit="4" topLeftCell="C5" activePane="bottomRight" state="frozen"/>
      <selection activeCell="A1" activeCellId="0" sqref="A1"/>
    </sheetView>
  </sheetViews>
  <sheetFormatPr defaultColWidth="8.6796875" defaultRowHeight="15"/>
  <cols>
    <col customWidth="1" min="1" max="1" style="0" width="28"/>
    <col customWidth="1" min="2" max="7" style="0" width="30"/>
    <col customWidth="1" min="8" max="9" style="0" width="40"/>
    <col customWidth="1" min="10" max="10" style="0" width="10"/>
  </cols>
  <sheetData>
    <row r="1" ht="17.350000000000001">
      <c r="A1" s="7" t="s">
        <v>718</v>
      </c>
    </row>
    <row r="4" ht="15">
      <c r="A4" s="10" t="s">
        <v>719</v>
      </c>
      <c r="B4" s="10" t="s">
        <v>720</v>
      </c>
      <c r="C4" s="10" t="s">
        <v>395</v>
      </c>
      <c r="D4" s="10" t="s">
        <v>396</v>
      </c>
      <c r="E4" s="10" t="s">
        <v>397</v>
      </c>
      <c r="F4" s="10" t="s">
        <v>398</v>
      </c>
      <c r="G4" s="10" t="s">
        <v>399</v>
      </c>
      <c r="H4" s="10" t="s">
        <v>416</v>
      </c>
      <c r="I4" s="10" t="s">
        <v>418</v>
      </c>
      <c r="J4" s="10" t="s">
        <v>721</v>
      </c>
    </row>
    <row r="5" ht="259.5" customHeight="1">
      <c r="A5" s="11" t="s">
        <v>722</v>
      </c>
      <c r="B5" s="20" t="s">
        <v>723</v>
      </c>
      <c r="C5" s="12" t="s">
        <v>724</v>
      </c>
      <c r="D5" s="12" t="s">
        <v>725</v>
      </c>
      <c r="E5" s="12" t="s">
        <v>726</v>
      </c>
      <c r="F5" s="12" t="s">
        <v>727</v>
      </c>
      <c r="G5" s="12" t="s">
        <v>728</v>
      </c>
      <c r="H5" s="34" t="s">
        <v>729</v>
      </c>
      <c r="I5" s="35" t="s">
        <v>730</v>
      </c>
      <c r="J5" s="32" t="s">
        <v>731</v>
      </c>
    </row>
    <row r="6" ht="259.5" customHeight="1">
      <c r="A6" s="11" t="s">
        <v>732</v>
      </c>
      <c r="B6" s="20" t="s">
        <v>733</v>
      </c>
      <c r="C6" s="12" t="s">
        <v>734</v>
      </c>
      <c r="D6" s="12" t="s">
        <v>735</v>
      </c>
      <c r="E6" s="12" t="s">
        <v>736</v>
      </c>
      <c r="F6" s="12" t="s">
        <v>737</v>
      </c>
      <c r="G6" s="12" t="s">
        <v>738</v>
      </c>
      <c r="H6" s="34" t="s">
        <v>739</v>
      </c>
      <c r="I6" s="35" t="s">
        <v>740</v>
      </c>
      <c r="J6" s="32" t="s">
        <v>741</v>
      </c>
    </row>
    <row r="7" ht="259.5" customHeight="1">
      <c r="A7" s="11" t="s">
        <v>742</v>
      </c>
      <c r="B7" s="20" t="s">
        <v>743</v>
      </c>
      <c r="C7" s="12" t="s">
        <v>744</v>
      </c>
      <c r="D7" s="12" t="s">
        <v>745</v>
      </c>
      <c r="E7" s="12" t="s">
        <v>746</v>
      </c>
      <c r="F7" s="12" t="s">
        <v>747</v>
      </c>
      <c r="G7" s="12" t="s">
        <v>748</v>
      </c>
      <c r="H7" s="34" t="s">
        <v>749</v>
      </c>
      <c r="I7" s="35" t="s">
        <v>750</v>
      </c>
      <c r="J7" s="32" t="s">
        <v>751</v>
      </c>
    </row>
    <row r="8" ht="259.5" customHeight="1">
      <c r="A8" s="11" t="s">
        <v>752</v>
      </c>
      <c r="B8" s="20" t="s">
        <v>753</v>
      </c>
      <c r="C8" s="12" t="s">
        <v>754</v>
      </c>
      <c r="D8" s="12" t="s">
        <v>755</v>
      </c>
      <c r="E8" s="12" t="s">
        <v>756</v>
      </c>
      <c r="F8" s="12" t="s">
        <v>757</v>
      </c>
      <c r="G8" s="12" t="s">
        <v>758</v>
      </c>
      <c r="H8" s="34" t="s">
        <v>759</v>
      </c>
      <c r="I8" s="35" t="s">
        <v>760</v>
      </c>
      <c r="J8" s="32" t="s">
        <v>761</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selection activeCell="A1" activeCellId="0" sqref="A1"/>
    </sheetView>
  </sheetViews>
  <sheetFormatPr defaultColWidth="8.6796875" defaultRowHeight="15"/>
  <cols>
    <col customWidth="1" min="1" max="1" style="0" width="10"/>
    <col customWidth="1" min="2" max="2" style="0" width="16"/>
    <col customWidth="1" min="3" max="3" style="0" width="14"/>
    <col customWidth="1" min="4" max="4" style="0" width="90"/>
    <col customWidth="1" min="5" max="5" style="0" width="28"/>
  </cols>
  <sheetData>
    <row r="1" ht="17.350000000000001">
      <c r="A1" s="7" t="s">
        <v>762</v>
      </c>
    </row>
    <row r="4" ht="23.850000000000001">
      <c r="A4" s="10" t="s">
        <v>328</v>
      </c>
      <c r="B4" s="10" t="s">
        <v>763</v>
      </c>
      <c r="C4" s="10" t="s">
        <v>764</v>
      </c>
      <c r="D4" s="10" t="s">
        <v>765</v>
      </c>
      <c r="E4" s="10" t="s">
        <v>766</v>
      </c>
    </row>
    <row r="5" ht="15">
      <c r="A5" s="32" t="s">
        <v>767</v>
      </c>
      <c r="B5" s="12" t="s">
        <v>687</v>
      </c>
      <c r="C5" s="13"/>
      <c r="D5" s="12" t="s">
        <v>768</v>
      </c>
      <c r="E5" s="12" t="s">
        <v>769</v>
      </c>
    </row>
    <row r="6" ht="15">
      <c r="A6" s="32" t="s">
        <v>770</v>
      </c>
      <c r="B6" s="12" t="s">
        <v>687</v>
      </c>
      <c r="C6" s="13"/>
      <c r="D6" s="12" t="s">
        <v>771</v>
      </c>
      <c r="E6" s="12" t="s">
        <v>769</v>
      </c>
    </row>
    <row r="7" ht="15">
      <c r="A7" s="32" t="s">
        <v>772</v>
      </c>
      <c r="B7" s="12" t="s">
        <v>687</v>
      </c>
      <c r="C7" s="13"/>
      <c r="D7" s="12" t="s">
        <v>773</v>
      </c>
      <c r="E7" s="12" t="s">
        <v>774</v>
      </c>
    </row>
    <row r="8" ht="15">
      <c r="A8" s="32" t="s">
        <v>775</v>
      </c>
      <c r="B8" s="12" t="s">
        <v>687</v>
      </c>
      <c r="C8" s="13"/>
      <c r="D8" s="12" t="s">
        <v>776</v>
      </c>
      <c r="E8" s="12" t="s">
        <v>769</v>
      </c>
    </row>
    <row r="9" ht="15">
      <c r="A9" s="32" t="s">
        <v>777</v>
      </c>
      <c r="B9" s="12" t="s">
        <v>687</v>
      </c>
      <c r="C9" s="13"/>
      <c r="D9" s="12" t="s">
        <v>778</v>
      </c>
      <c r="E9" s="12" t="s">
        <v>769</v>
      </c>
    </row>
    <row r="10" ht="15">
      <c r="A10" s="32" t="s">
        <v>779</v>
      </c>
      <c r="B10" s="12" t="s">
        <v>780</v>
      </c>
      <c r="C10" s="13"/>
      <c r="D10" s="12" t="s">
        <v>781</v>
      </c>
      <c r="E10" s="12" t="s">
        <v>782</v>
      </c>
    </row>
    <row r="11" ht="15">
      <c r="A11" s="32" t="s">
        <v>783</v>
      </c>
      <c r="B11" s="12" t="s">
        <v>689</v>
      </c>
      <c r="C11" s="13"/>
      <c r="D11" s="12" t="s">
        <v>784</v>
      </c>
      <c r="E11" s="12" t="s">
        <v>769</v>
      </c>
    </row>
    <row r="12" ht="15">
      <c r="A12" s="32" t="s">
        <v>785</v>
      </c>
      <c r="B12" s="12" t="s">
        <v>689</v>
      </c>
      <c r="C12" s="13"/>
      <c r="D12" s="12" t="s">
        <v>786</v>
      </c>
      <c r="E12" s="12" t="s">
        <v>787</v>
      </c>
    </row>
    <row r="13" ht="15">
      <c r="A13" s="32" t="s">
        <v>788</v>
      </c>
      <c r="B13" s="12" t="s">
        <v>689</v>
      </c>
      <c r="C13" s="13"/>
      <c r="D13" s="12" t="s">
        <v>789</v>
      </c>
      <c r="E13" s="12" t="s">
        <v>769</v>
      </c>
    </row>
    <row r="14" ht="15">
      <c r="A14" s="32" t="s">
        <v>790</v>
      </c>
      <c r="B14" s="12" t="s">
        <v>791</v>
      </c>
      <c r="C14" s="13"/>
      <c r="D14" s="12" t="s">
        <v>792</v>
      </c>
      <c r="E14" s="12" t="s">
        <v>782</v>
      </c>
    </row>
    <row r="15" ht="15">
      <c r="A15" s="32" t="s">
        <v>793</v>
      </c>
      <c r="B15" s="12" t="s">
        <v>791</v>
      </c>
      <c r="C15" s="13"/>
      <c r="D15" s="12" t="s">
        <v>794</v>
      </c>
      <c r="E15" s="12" t="s">
        <v>795</v>
      </c>
    </row>
    <row r="16" ht="15">
      <c r="A16" s="32" t="s">
        <v>796</v>
      </c>
      <c r="B16" s="12" t="s">
        <v>797</v>
      </c>
      <c r="C16" s="13"/>
      <c r="D16" s="12" t="s">
        <v>798</v>
      </c>
      <c r="E16" s="12" t="s">
        <v>769</v>
      </c>
    </row>
    <row r="17" ht="15">
      <c r="A17" s="32" t="s">
        <v>799</v>
      </c>
      <c r="B17" s="12" t="s">
        <v>797</v>
      </c>
      <c r="C17" s="13"/>
      <c r="D17" s="12" t="s">
        <v>800</v>
      </c>
      <c r="E17" s="12" t="s">
        <v>769</v>
      </c>
    </row>
    <row r="18" ht="23.850000000000001">
      <c r="A18" s="32" t="s">
        <v>801</v>
      </c>
      <c r="B18" s="12" t="s">
        <v>802</v>
      </c>
      <c r="C18" s="13"/>
      <c r="D18" s="12" t="s">
        <v>803</v>
      </c>
      <c r="E18" s="12" t="s">
        <v>769</v>
      </c>
    </row>
    <row r="19" ht="15">
      <c r="A19" s="32" t="s">
        <v>804</v>
      </c>
      <c r="B19" s="12" t="s">
        <v>802</v>
      </c>
      <c r="C19" s="13" t="s">
        <v>805</v>
      </c>
      <c r="D19" s="12" t="s">
        <v>806</v>
      </c>
      <c r="E19" s="12" t="s">
        <v>807</v>
      </c>
    </row>
    <row r="20" ht="15">
      <c r="A20" s="32" t="s">
        <v>808</v>
      </c>
      <c r="B20" s="12" t="s">
        <v>791</v>
      </c>
      <c r="C20" s="13"/>
      <c r="D20" s="12" t="s">
        <v>809</v>
      </c>
      <c r="E20" s="12" t="s">
        <v>769</v>
      </c>
    </row>
    <row r="21" ht="15">
      <c r="A21" s="32" t="s">
        <v>810</v>
      </c>
      <c r="B21" s="12" t="s">
        <v>791</v>
      </c>
      <c r="C21" s="13"/>
      <c r="D21" s="12" t="s">
        <v>811</v>
      </c>
      <c r="E21" s="12" t="s">
        <v>787</v>
      </c>
    </row>
    <row r="22" ht="23.850000000000001">
      <c r="A22" s="32" t="s">
        <v>812</v>
      </c>
      <c r="B22" s="12" t="s">
        <v>691</v>
      </c>
      <c r="C22" s="13"/>
      <c r="D22" s="12" t="s">
        <v>813</v>
      </c>
      <c r="E22" s="12" t="s">
        <v>814</v>
      </c>
    </row>
    <row r="23" ht="15">
      <c r="A23" s="32" t="s">
        <v>815</v>
      </c>
      <c r="B23" s="12" t="s">
        <v>691</v>
      </c>
      <c r="C23" s="13"/>
      <c r="D23" s="12" t="s">
        <v>816</v>
      </c>
      <c r="E23" s="12" t="s">
        <v>769</v>
      </c>
    </row>
    <row r="24" ht="23.850000000000001">
      <c r="A24" s="32" t="s">
        <v>817</v>
      </c>
      <c r="B24" s="12" t="s">
        <v>691</v>
      </c>
      <c r="C24" s="13"/>
      <c r="D24" s="12" t="s">
        <v>818</v>
      </c>
      <c r="E24" s="12" t="s">
        <v>814</v>
      </c>
    </row>
    <row r="25" ht="23.850000000000001">
      <c r="A25" s="32" t="s">
        <v>819</v>
      </c>
      <c r="B25" s="12" t="s">
        <v>691</v>
      </c>
      <c r="C25" s="13"/>
      <c r="D25" s="12" t="s">
        <v>820</v>
      </c>
      <c r="E25" s="12" t="s">
        <v>769</v>
      </c>
    </row>
    <row r="26" ht="15">
      <c r="A26" s="32" t="s">
        <v>821</v>
      </c>
      <c r="B26" s="12" t="s">
        <v>691</v>
      </c>
      <c r="C26" s="13"/>
      <c r="D26" s="12" t="s">
        <v>822</v>
      </c>
      <c r="E26" s="12" t="s">
        <v>814</v>
      </c>
    </row>
    <row r="27" ht="23.850000000000001">
      <c r="A27" s="32" t="s">
        <v>823</v>
      </c>
      <c r="B27" s="12" t="s">
        <v>711</v>
      </c>
      <c r="C27" s="13" t="s">
        <v>824</v>
      </c>
      <c r="D27" s="12" t="s">
        <v>825</v>
      </c>
      <c r="E27" s="12" t="s">
        <v>826</v>
      </c>
    </row>
    <row r="28" ht="23.850000000000001">
      <c r="A28" s="32" t="s">
        <v>827</v>
      </c>
      <c r="B28" s="12" t="s">
        <v>711</v>
      </c>
      <c r="C28" s="13"/>
      <c r="D28" s="12" t="s">
        <v>828</v>
      </c>
      <c r="E28" s="12" t="s">
        <v>826</v>
      </c>
    </row>
    <row r="29" ht="15">
      <c r="A29" s="32" t="s">
        <v>829</v>
      </c>
      <c r="B29" s="12" t="s">
        <v>711</v>
      </c>
      <c r="C29" s="13"/>
      <c r="D29" s="12" t="s">
        <v>830</v>
      </c>
      <c r="E29" s="12" t="s">
        <v>826</v>
      </c>
    </row>
    <row r="30" ht="23.850000000000001">
      <c r="A30" s="32" t="s">
        <v>831</v>
      </c>
      <c r="B30" s="12" t="s">
        <v>832</v>
      </c>
      <c r="C30" s="13"/>
      <c r="D30" s="12" t="s">
        <v>833</v>
      </c>
      <c r="E30" s="12" t="s">
        <v>834</v>
      </c>
    </row>
    <row r="31" ht="15">
      <c r="A31" s="32" t="s">
        <v>835</v>
      </c>
      <c r="B31" s="12" t="s">
        <v>780</v>
      </c>
      <c r="C31" s="13"/>
      <c r="D31" s="12" t="s">
        <v>836</v>
      </c>
      <c r="E31" s="12" t="s">
        <v>837</v>
      </c>
    </row>
    <row r="32" ht="15">
      <c r="A32" s="32" t="s">
        <v>838</v>
      </c>
      <c r="B32" s="12" t="s">
        <v>780</v>
      </c>
      <c r="C32" s="13"/>
      <c r="D32" s="12" t="s">
        <v>839</v>
      </c>
      <c r="E32" s="12" t="s">
        <v>837</v>
      </c>
    </row>
    <row r="34" ht="15">
      <c r="A34" s="10"/>
      <c r="B34" s="10" t="s">
        <v>766</v>
      </c>
      <c r="C34" s="10" t="s">
        <v>840</v>
      </c>
    </row>
    <row r="35" ht="15">
      <c r="B35" s="11" t="s">
        <v>837</v>
      </c>
      <c r="C35" s="13">
        <f t="shared" ref="C35:C44" si="42">COUNTIF($E$5:$E$32,B35)</f>
        <v>2</v>
      </c>
    </row>
    <row r="36" ht="15">
      <c r="B36" s="11" t="s">
        <v>834</v>
      </c>
      <c r="C36" s="13">
        <f t="shared" si="42"/>
        <v>1</v>
      </c>
    </row>
    <row r="37" ht="15">
      <c r="B37" s="11" t="s">
        <v>782</v>
      </c>
      <c r="C37" s="13">
        <f t="shared" si="42"/>
        <v>2</v>
      </c>
    </row>
    <row r="38" ht="23.850000000000001">
      <c r="B38" s="11" t="s">
        <v>787</v>
      </c>
      <c r="C38" s="13">
        <f t="shared" si="42"/>
        <v>2</v>
      </c>
    </row>
    <row r="39" ht="23.850000000000001">
      <c r="B39" s="11" t="s">
        <v>826</v>
      </c>
      <c r="C39" s="13">
        <f t="shared" si="42"/>
        <v>3</v>
      </c>
    </row>
    <row r="40" ht="15">
      <c r="B40" s="11" t="s">
        <v>807</v>
      </c>
      <c r="C40" s="13">
        <f t="shared" si="42"/>
        <v>1</v>
      </c>
    </row>
    <row r="41" ht="23.850000000000001">
      <c r="B41" s="11" t="s">
        <v>814</v>
      </c>
      <c r="C41" s="13">
        <f t="shared" si="42"/>
        <v>3</v>
      </c>
    </row>
    <row r="42" ht="15">
      <c r="B42" s="11" t="s">
        <v>774</v>
      </c>
      <c r="C42" s="13">
        <f t="shared" si="42"/>
        <v>1</v>
      </c>
    </row>
    <row r="43" ht="23.850000000000001">
      <c r="B43" s="11" t="s">
        <v>769</v>
      </c>
      <c r="C43" s="13">
        <f t="shared" si="42"/>
        <v>12</v>
      </c>
    </row>
    <row r="44" ht="15">
      <c r="B44" s="11" t="s">
        <v>795</v>
      </c>
      <c r="C44" s="13">
        <f t="shared" si="42"/>
        <v>1</v>
      </c>
    </row>
  </sheetData>
  <autoFilter ref="A4:E32"/>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100" workbookViewId="0">
      <pane xSplit="1" ySplit="4" topLeftCell="B5" activePane="bottomRight" state="frozen"/>
      <selection activeCell="A1" activeCellId="0" sqref="A1"/>
    </sheetView>
  </sheetViews>
  <sheetFormatPr defaultColWidth="8.6796875" defaultRowHeight="15"/>
  <cols>
    <col customWidth="1" min="1" max="1" style="0" width="26"/>
    <col customWidth="1" min="2" max="2" style="0" width="45"/>
    <col customWidth="1" min="3" max="3" style="0" width="30"/>
    <col customWidth="1" min="4" max="5" style="0" width="32"/>
    <col customWidth="1" min="6" max="6" style="0" width="40"/>
    <col customWidth="1" min="7" max="7" style="0" width="10"/>
  </cols>
  <sheetData>
    <row r="1" ht="17.350000000000001">
      <c r="A1" s="7" t="s">
        <v>841</v>
      </c>
    </row>
    <row r="2" ht="15">
      <c r="A2" s="8" t="s">
        <v>842</v>
      </c>
    </row>
    <row r="4" ht="15">
      <c r="A4" s="10" t="s">
        <v>766</v>
      </c>
      <c r="B4" s="10" t="s">
        <v>843</v>
      </c>
      <c r="C4" s="10" t="s">
        <v>844</v>
      </c>
      <c r="D4" s="10" t="s">
        <v>845</v>
      </c>
      <c r="E4" s="10" t="s">
        <v>846</v>
      </c>
      <c r="F4" s="10" t="s">
        <v>847</v>
      </c>
      <c r="G4" s="10" t="s">
        <v>848</v>
      </c>
    </row>
    <row r="5" ht="150" customHeight="1">
      <c r="A5" s="11" t="s">
        <v>849</v>
      </c>
      <c r="B5" s="12" t="s">
        <v>850</v>
      </c>
      <c r="C5" s="12" t="s">
        <v>851</v>
      </c>
      <c r="D5" s="12" t="s">
        <v>852</v>
      </c>
      <c r="E5" s="12" t="s">
        <v>853</v>
      </c>
      <c r="F5" s="12" t="s">
        <v>854</v>
      </c>
      <c r="G5" s="32" t="s">
        <v>855</v>
      </c>
    </row>
    <row r="6" ht="150" customHeight="1">
      <c r="A6" s="11" t="s">
        <v>856</v>
      </c>
      <c r="B6" s="12" t="s">
        <v>857</v>
      </c>
      <c r="C6" s="12" t="s">
        <v>858</v>
      </c>
      <c r="D6" s="12" t="s">
        <v>859</v>
      </c>
      <c r="E6" s="12" t="s">
        <v>860</v>
      </c>
      <c r="F6" s="12" t="s">
        <v>861</v>
      </c>
      <c r="G6" s="32" t="s">
        <v>862</v>
      </c>
    </row>
    <row r="7" ht="150" customHeight="1">
      <c r="A7" s="11" t="s">
        <v>863</v>
      </c>
      <c r="B7" s="12" t="s">
        <v>864</v>
      </c>
      <c r="C7" s="12" t="s">
        <v>865</v>
      </c>
      <c r="D7" s="12" t="s">
        <v>866</v>
      </c>
      <c r="E7" s="12" t="s">
        <v>867</v>
      </c>
      <c r="F7" s="12" t="s">
        <v>868</v>
      </c>
      <c r="G7" s="32" t="s">
        <v>869</v>
      </c>
    </row>
    <row r="8" ht="150" customHeight="1">
      <c r="A8" s="11" t="s">
        <v>870</v>
      </c>
      <c r="B8" s="12" t="s">
        <v>871</v>
      </c>
      <c r="C8" s="12" t="s">
        <v>872</v>
      </c>
      <c r="D8" s="12" t="s">
        <v>873</v>
      </c>
      <c r="E8" s="12" t="s">
        <v>874</v>
      </c>
      <c r="F8" s="12" t="s">
        <v>875</v>
      </c>
      <c r="G8" s="32" t="s">
        <v>876</v>
      </c>
    </row>
    <row r="9" ht="150" customHeight="1">
      <c r="A9" s="11" t="s">
        <v>877</v>
      </c>
      <c r="B9" s="12" t="s">
        <v>878</v>
      </c>
      <c r="C9" s="12" t="s">
        <v>879</v>
      </c>
      <c r="D9" s="12" t="s">
        <v>880</v>
      </c>
      <c r="E9" s="12" t="s">
        <v>881</v>
      </c>
      <c r="F9" s="12" t="s">
        <v>882</v>
      </c>
      <c r="G9" s="32" t="s">
        <v>761</v>
      </c>
    </row>
    <row r="10" ht="150" customHeight="1">
      <c r="A10" s="11" t="s">
        <v>883</v>
      </c>
      <c r="B10" s="12" t="s">
        <v>884</v>
      </c>
      <c r="C10" s="12" t="s">
        <v>885</v>
      </c>
      <c r="D10" s="12" t="s">
        <v>886</v>
      </c>
      <c r="E10" s="12" t="s">
        <v>887</v>
      </c>
      <c r="F10" s="12" t="s">
        <v>888</v>
      </c>
      <c r="G10" s="32" t="s">
        <v>751</v>
      </c>
    </row>
    <row r="11" ht="150" customHeight="1">
      <c r="A11" s="11" t="s">
        <v>889</v>
      </c>
      <c r="B11" s="12" t="s">
        <v>890</v>
      </c>
      <c r="C11" s="12" t="s">
        <v>891</v>
      </c>
      <c r="D11" s="12" t="s">
        <v>892</v>
      </c>
      <c r="E11" s="12" t="s">
        <v>893</v>
      </c>
      <c r="F11" s="12" t="s">
        <v>894</v>
      </c>
      <c r="G11" s="32" t="s">
        <v>895</v>
      </c>
    </row>
    <row r="12" ht="150" customHeight="1">
      <c r="A12" s="11" t="s">
        <v>896</v>
      </c>
      <c r="B12" s="12" t="s">
        <v>897</v>
      </c>
      <c r="C12" s="12" t="s">
        <v>898</v>
      </c>
      <c r="D12" s="12" t="s">
        <v>899</v>
      </c>
      <c r="E12" s="12" t="s">
        <v>900</v>
      </c>
      <c r="F12" s="12" t="s">
        <v>901</v>
      </c>
      <c r="G12" s="32" t="s">
        <v>902</v>
      </c>
    </row>
    <row r="14" ht="15">
      <c r="A14" s="9" t="s">
        <v>903</v>
      </c>
    </row>
    <row r="15" ht="15">
      <c r="A15" s="10" t="s">
        <v>328</v>
      </c>
      <c r="B15" s="10" t="s">
        <v>848</v>
      </c>
      <c r="C15" s="10" t="s">
        <v>904</v>
      </c>
      <c r="D15" s="10" t="s">
        <v>905</v>
      </c>
      <c r="E15" s="10" t="s">
        <v>906</v>
      </c>
    </row>
    <row r="16" ht="23.850000000000001">
      <c r="A16" s="32" t="s">
        <v>902</v>
      </c>
      <c r="B16" s="12" t="s">
        <v>907</v>
      </c>
      <c r="C16" s="12" t="s">
        <v>908</v>
      </c>
      <c r="D16" s="34" t="s">
        <v>909</v>
      </c>
      <c r="E16" s="12" t="s">
        <v>910</v>
      </c>
    </row>
    <row r="17" ht="23.850000000000001">
      <c r="A17" s="32" t="s">
        <v>751</v>
      </c>
      <c r="B17" s="12" t="s">
        <v>911</v>
      </c>
      <c r="C17" s="12" t="s">
        <v>912</v>
      </c>
      <c r="D17" s="34" t="s">
        <v>913</v>
      </c>
      <c r="E17" s="12" t="s">
        <v>914</v>
      </c>
    </row>
    <row r="18" ht="35.049999999999997">
      <c r="A18" s="32" t="s">
        <v>876</v>
      </c>
      <c r="B18" s="12" t="s">
        <v>915</v>
      </c>
      <c r="C18" s="12" t="s">
        <v>916</v>
      </c>
      <c r="D18" s="34" t="s">
        <v>913</v>
      </c>
      <c r="E18" s="12" t="s">
        <v>917</v>
      </c>
    </row>
    <row r="19" ht="23.850000000000001">
      <c r="A19" s="32" t="s">
        <v>855</v>
      </c>
      <c r="B19" s="12" t="s">
        <v>918</v>
      </c>
      <c r="C19" s="12" t="s">
        <v>919</v>
      </c>
      <c r="D19" s="34" t="s">
        <v>920</v>
      </c>
      <c r="E19" s="12" t="s">
        <v>921</v>
      </c>
    </row>
    <row r="20" ht="23.850000000000001">
      <c r="A20" s="32" t="s">
        <v>922</v>
      </c>
      <c r="B20" s="12" t="s">
        <v>923</v>
      </c>
      <c r="C20" s="12" t="s">
        <v>924</v>
      </c>
      <c r="D20" s="34" t="s">
        <v>925</v>
      </c>
      <c r="E20" s="12" t="s">
        <v>926</v>
      </c>
    </row>
    <row r="21" ht="35.049999999999997">
      <c r="A21" s="32" t="s">
        <v>869</v>
      </c>
      <c r="B21" s="12" t="s">
        <v>927</v>
      </c>
      <c r="C21" s="12" t="s">
        <v>928</v>
      </c>
      <c r="D21" s="35" t="s">
        <v>929</v>
      </c>
      <c r="E21" s="12" t="s">
        <v>930</v>
      </c>
    </row>
    <row r="22" ht="23.850000000000001">
      <c r="A22" s="32" t="s">
        <v>931</v>
      </c>
      <c r="B22" s="12" t="s">
        <v>932</v>
      </c>
      <c r="C22" s="12" t="s">
        <v>933</v>
      </c>
      <c r="D22" s="35" t="s">
        <v>929</v>
      </c>
      <c r="E22" s="12" t="s">
        <v>934</v>
      </c>
    </row>
    <row r="23" ht="23.850000000000001">
      <c r="A23" s="32" t="s">
        <v>895</v>
      </c>
      <c r="B23" s="12" t="s">
        <v>935</v>
      </c>
      <c r="C23" s="12" t="s">
        <v>936</v>
      </c>
      <c r="D23" s="35" t="s">
        <v>929</v>
      </c>
      <c r="E23" s="12" t="s">
        <v>937</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cp:revision>
  <dcterms:created xsi:type="dcterms:W3CDTF">2026-10-23T19:00:15Z</dcterms:created>
  <dcterms:modified xsi:type="dcterms:W3CDTF">2026-10-26T13:59:25Z</dcterms:modified>
</cp:coreProperties>
</file>